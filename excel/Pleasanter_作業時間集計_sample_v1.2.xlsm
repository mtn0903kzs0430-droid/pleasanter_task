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n09\Documents\Codex\blog_excelfriend\202610_タスク管理\outputs\"/>
    </mc:Choice>
  </mc:AlternateContent>
  <xr:revisionPtr revIDLastSave="0" documentId="13_ncr:1_{D28062F8-070D-4035-850F-2A0E49D3678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操作・集計" sheetId="1" r:id="rId1"/>
    <sheet name="取得データ" sheetId="2" r:id="rId2"/>
    <sheet name="請求書" sheetId="3" r:id="rId3"/>
    <sheet name="業務内容報告書" sheetId="4" r:id="rId4"/>
  </sheets>
  <functionGroups builtInGroupCount="19"/>
  <definedNames>
    <definedName name="_xlnm._FilterDatabase" localSheetId="1" hidden="1">取得データ!$A$1:$Q$6</definedName>
    <definedName name="_xlnm.Print_Area" localSheetId="3">業務内容報告書!$A$1:$E$14</definedName>
    <definedName name="_xlnm.Print_Area" localSheetId="1">取得データ!$A:$Q</definedName>
    <definedName name="_xlnm.Print_Area" localSheetId="2">請求書!$B$2:$G$38</definedName>
    <definedName name="_xlnm.Print_Area" localSheetId="0">操作・集計!$B$2:$F$17</definedName>
    <definedName name="_xlnm.Print_Titles" localSheetId="3">業務内容報告書!$1:$9</definedName>
    <definedName name="_xlnm.Print_Titles" localSheetId="1">取得データ!$1:$1</definedName>
    <definedName name="SampleFetchedClientId" hidden="1">"10233"</definedName>
    <definedName name="SampleFetchedSiteId" hidden="1">"9664"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I2" i="2"/>
  <c r="I3" i="2"/>
  <c r="I4" i="2"/>
  <c r="C17" i="1" s="1"/>
  <c r="I5" i="2"/>
  <c r="I6" i="2"/>
  <c r="C16" i="1"/>
  <c r="C5" i="1"/>
  <c r="G26" i="3" l="1"/>
  <c r="G30" i="3" s="1"/>
  <c r="G32" i="3" s="1"/>
  <c r="G33" i="3" l="1"/>
  <c r="B17" i="3" s="1"/>
</calcChain>
</file>

<file path=xl/sharedStrings.xml><?xml version="1.0" encoding="utf-8"?>
<sst xmlns="http://schemas.openxmlformats.org/spreadsheetml/2006/main" count="136" uniqueCount="102">
  <si>
    <t>Pleasanter 作業時間集計</t>
  </si>
  <si>
    <t>取得開始日</t>
  </si>
  <si>
    <t>取得終了日</t>
  </si>
  <si>
    <t>最終取得日時</t>
  </si>
  <si>
    <t>取得済み開始日</t>
  </si>
  <si>
    <t>取得済み終了日</t>
  </si>
  <si>
    <t>対象件数</t>
  </si>
  <si>
    <t>取得作業時間(h)</t>
  </si>
  <si>
    <t>集計時間(h)</t>
  </si>
  <si>
    <t>取引先ID</t>
  </si>
  <si>
    <t>取引先</t>
  </si>
  <si>
    <t>ID</t>
  </si>
  <si>
    <t>タイトル</t>
  </si>
  <si>
    <t>内容</t>
  </si>
  <si>
    <t>状況</t>
  </si>
  <si>
    <t>作業時間(h)</t>
  </si>
  <si>
    <t>実績開始日時</t>
  </si>
  <si>
    <t>実績終了日時</t>
  </si>
  <si>
    <t>中断開始時刻</t>
  </si>
  <si>
    <t>中断再開時刻</t>
  </si>
  <si>
    <t>休憩時間(分)</t>
  </si>
  <si>
    <t>調整時間(h)</t>
  </si>
  <si>
    <t>調整メモ</t>
  </si>
  <si>
    <t>今回集計対象</t>
  </si>
  <si>
    <t>請求日</t>
  </si>
  <si>
    <t>登録番号</t>
  </si>
  <si>
    <t>件名</t>
  </si>
  <si>
    <t>小計</t>
  </si>
  <si>
    <t>請求金額</t>
  </si>
  <si>
    <t>入金期日</t>
  </si>
  <si>
    <t>振込先</t>
  </si>
  <si>
    <t>摘要</t>
  </si>
  <si>
    <t>数量(h)</t>
  </si>
  <si>
    <t>単価(円/h)</t>
  </si>
  <si>
    <t>金額(円)</t>
  </si>
  <si>
    <t>消費税率</t>
  </si>
  <si>
    <t>消費税（1円未満切捨て）</t>
  </si>
  <si>
    <t>備考</t>
  </si>
  <si>
    <t>業務内容報告書</t>
  </si>
  <si>
    <t>提出先</t>
  </si>
  <si>
    <t>対象期間</t>
  </si>
  <si>
    <t>～</t>
  </si>
  <si>
    <t>合計時間(h)</t>
  </si>
  <si>
    <t>下記のとおり業務を実施しました。</t>
  </si>
  <si>
    <t>日付</t>
  </si>
  <si>
    <t>時間(h)</t>
  </si>
  <si>
    <t>業務名</t>
  </si>
  <si>
    <t>実施内容</t>
  </si>
  <si>
    <t>元データID</t>
  </si>
  <si>
    <t>ご請求金額（税込）</t>
  </si>
  <si>
    <t>請 求 書</t>
    <phoneticPr fontId="2"/>
  </si>
  <si>
    <t>サンプル株式会社 御中</t>
    <phoneticPr fontId="2"/>
  </si>
  <si>
    <t>T9999999999999</t>
    <phoneticPr fontId="2"/>
  </si>
  <si>
    <t>office サンプル</t>
    <phoneticPr fontId="2"/>
  </si>
  <si>
    <t>プリ山 はやと</t>
    <rPh sb="2" eb="3">
      <t>ヤマ</t>
    </rPh>
    <phoneticPr fontId="2"/>
  </si>
  <si>
    <t>〒XXX-XXXX</t>
    <phoneticPr fontId="2"/>
  </si>
  <si>
    <t>埼玉県〇〇市△△町1-2-3</t>
    <rPh sb="5" eb="6">
      <t>シ</t>
    </rPh>
    <rPh sb="8" eb="9">
      <t>マチ</t>
    </rPh>
    <phoneticPr fontId="2"/>
  </si>
  <si>
    <t>10262</t>
  </si>
  <si>
    <t>10233</t>
  </si>
  <si>
    <t>10263</t>
  </si>
  <si>
    <t>10264</t>
  </si>
  <si>
    <t>10265</t>
  </si>
  <si>
    <t>10266</t>
  </si>
  <si>
    <t>サンプル株式会社</t>
    <phoneticPr fontId="2"/>
  </si>
  <si>
    <t xml:space="preserve"> 操作順</t>
    <phoneticPr fontId="2"/>
  </si>
  <si>
    <t xml:space="preserve"> 2. 「取得データ」シートの黄色い調整欄を入力</t>
    <phoneticPr fontId="2"/>
  </si>
  <si>
    <t>〇〇銀行 △△支店
普通預金 1234567
プリ山 はやと</t>
    <rPh sb="25" eb="26">
      <t>ヤマ</t>
    </rPh>
    <phoneticPr fontId="2"/>
  </si>
  <si>
    <t>報告者：プリ山 はやと</t>
    <rPh sb="6" eb="7">
      <t>ヤマ</t>
    </rPh>
    <phoneticPr fontId="2"/>
  </si>
  <si>
    <t>集計対象 取引先ID</t>
    <rPh sb="0" eb="4">
      <t>シュウケイタイショウ</t>
    </rPh>
    <rPh sb="5" eb="8">
      <t>トリヒキサキ</t>
    </rPh>
    <phoneticPr fontId="2"/>
  </si>
  <si>
    <t>取引先名（請求書印字）</t>
    <rPh sb="0" eb="4">
      <t>トリヒキサキメイ</t>
    </rPh>
    <rPh sb="5" eb="10">
      <t>セイキュウショインジ</t>
    </rPh>
    <phoneticPr fontId="2"/>
  </si>
  <si>
    <t>サンプル株式会社</t>
    <rPh sb="4" eb="8">
      <t>カブシキガイシャ</t>
    </rPh>
    <phoneticPr fontId="2"/>
  </si>
  <si>
    <t>住所</t>
    <rPh sb="0" eb="2">
      <t>ジュウショ</t>
    </rPh>
    <phoneticPr fontId="2"/>
  </si>
  <si>
    <t>郵便番号</t>
    <rPh sb="0" eb="4">
      <t>ユウビンバンゴウ</t>
    </rPh>
    <phoneticPr fontId="2"/>
  </si>
  <si>
    <r>
      <rPr>
        <sz val="11"/>
        <color rgb="FF243247"/>
        <rFont val="Segoe UI Symbol"/>
        <family val="3"/>
      </rPr>
      <t>★</t>
    </r>
    <r>
      <rPr>
        <sz val="11"/>
        <color rgb="FF243247"/>
        <rFont val="Meiryo UI"/>
        <family val="3"/>
        <charset val="128"/>
      </rPr>
      <t>メッセージ</t>
    </r>
    <r>
      <rPr>
        <sz val="11"/>
        <color rgb="FF243247"/>
        <rFont val="Segoe UI Symbol"/>
        <family val="3"/>
      </rPr>
      <t>★</t>
    </r>
    <phoneticPr fontId="2"/>
  </si>
  <si>
    <t xml:space="preserve"> 4. 「請求書」「業務内容報告書」シートPDF出力</t>
    <rPh sb="5" eb="8">
      <t>セイキュウショ</t>
    </rPh>
    <rPh sb="10" eb="12">
      <t>ギョウム</t>
    </rPh>
    <rPh sb="12" eb="17">
      <t>ナイヨウホウコクショ</t>
    </rPh>
    <rPh sb="24" eb="26">
      <t>シュツリョク</t>
    </rPh>
    <phoneticPr fontId="2"/>
  </si>
  <si>
    <t>サイトID</t>
    <phoneticPr fontId="2"/>
  </si>
  <si>
    <t xml:space="preserve"> 3. 「請求書」「業務内容報告書」シートに反映</t>
    <rPh sb="5" eb="8">
      <t>セイキュウショ</t>
    </rPh>
    <rPh sb="10" eb="12">
      <t>ギョウム</t>
    </rPh>
    <rPh sb="12" eb="17">
      <t>ナイヨウホウコクショ</t>
    </rPh>
    <rPh sb="22" eb="24">
      <t>ハンエイ</t>
    </rPh>
    <phoneticPr fontId="2"/>
  </si>
  <si>
    <t>調整後作業時間(h)</t>
    <rPh sb="0" eb="3">
      <t>チョウセイゴ</t>
    </rPh>
    <phoneticPr fontId="2"/>
  </si>
  <si>
    <t>打ち合わせ</t>
  </si>
  <si>
    <t>サンプル（株）</t>
  </si>
  <si>
    <t>要件ヒアリング</t>
  </si>
  <si>
    <t>完了</t>
  </si>
  <si>
    <t>プリザンター作成</t>
  </si>
  <si>
    <t>申請サイト、マスタのモック作成</t>
  </si>
  <si>
    <t>最終チェック、調整</t>
  </si>
  <si>
    <t>打ち合わせ内容検証、構成案作成</t>
  </si>
  <si>
    <t>2026年10月分 業務委託料</t>
    <phoneticPr fontId="2"/>
  </si>
  <si>
    <t>途中で別件対応あり</t>
    <rPh sb="0" eb="2">
      <t>トチュウ</t>
    </rPh>
    <rPh sb="3" eb="7">
      <t>ベッケンタイオウ</t>
    </rPh>
    <phoneticPr fontId="2"/>
  </si>
  <si>
    <t>作成日：2026/10/28</t>
    <phoneticPr fontId="2"/>
  </si>
  <si>
    <t>2026年10月1日～2026年10月31日　稼働時間 15.00時間</t>
    <phoneticPr fontId="2"/>
  </si>
  <si>
    <t>東京都渋谷区●ー●ー●</t>
    <rPh sb="0" eb="3">
      <t>トウキョウト</t>
    </rPh>
    <rPh sb="3" eb="6">
      <t>シブヤク</t>
    </rPh>
    <phoneticPr fontId="2"/>
  </si>
  <si>
    <t>〒111-111</t>
    <phoneticPr fontId="2"/>
  </si>
  <si>
    <t>東京都渋谷区●ー●ー●</t>
    <phoneticPr fontId="2"/>
  </si>
  <si>
    <t>帳票作成済み：2026/10/28 16:06</t>
    <phoneticPr fontId="2"/>
  </si>
  <si>
    <t>〇〇〇〇</t>
    <phoneticPr fontId="2"/>
  </si>
  <si>
    <t>※「業務内容報告書」シートの作成日は「帳票作成」ボタンをクリックした日が自動入力されます。</t>
    <rPh sb="2" eb="9">
      <t>ギョウムナイヨウホウコクショ</t>
    </rPh>
    <rPh sb="14" eb="17">
      <t>サクセイビ</t>
    </rPh>
    <rPh sb="19" eb="23">
      <t>チョウヒョウサクセイ</t>
    </rPh>
    <rPh sb="34" eb="35">
      <t>ヒ</t>
    </rPh>
    <rPh sb="36" eb="38">
      <t>ジドウ</t>
    </rPh>
    <rPh sb="38" eb="40">
      <t>ニュウリョク</t>
    </rPh>
    <phoneticPr fontId="2"/>
  </si>
  <si>
    <t>１．セルC4に取得開始日を入力して「データ取得」</t>
    <rPh sb="7" eb="12">
      <t>シュトクカイシビ</t>
    </rPh>
    <rPh sb="13" eb="15">
      <t>ニュウリョク</t>
    </rPh>
    <phoneticPr fontId="2"/>
  </si>
  <si>
    <t>※「取得開始日」に入力した日の月末までが取得対象期間となります。</t>
    <rPh sb="2" eb="7">
      <t>シュトクカイシビ</t>
    </rPh>
    <rPh sb="9" eb="11">
      <t>ニュウリョク</t>
    </rPh>
    <rPh sb="13" eb="14">
      <t>ヒ</t>
    </rPh>
    <rPh sb="15" eb="17">
      <t>ガツマツ</t>
    </rPh>
    <rPh sb="20" eb="26">
      <t>シュトクタイショウキカン</t>
    </rPh>
    <phoneticPr fontId="2"/>
  </si>
  <si>
    <t>※「操作・集計」「請求書」「業務内容報告書」の水色セルは事前に入力します</t>
    <rPh sb="2" eb="4">
      <t>ソウサ</t>
    </rPh>
    <rPh sb="5" eb="7">
      <t>シュウケイ</t>
    </rPh>
    <rPh sb="9" eb="12">
      <t>セイキュウショ</t>
    </rPh>
    <rPh sb="14" eb="21">
      <t>ギョウムナイヨウホウコクショ</t>
    </rPh>
    <rPh sb="23" eb="25">
      <t>ミズイロ</t>
    </rPh>
    <rPh sb="28" eb="30">
      <t>ジゼン</t>
    </rPh>
    <rPh sb="31" eb="33">
      <t>ニュウリョク</t>
    </rPh>
    <phoneticPr fontId="2"/>
  </si>
  <si>
    <t>※対象期間を変更して帳票を作成すると、請求日は翌月1日、入金期日は翌月末日を初期設定します。同じ期間の再作成では保持します。</t>
    <phoneticPr fontId="2"/>
  </si>
  <si>
    <t>※データを再取得すると、調整時間・調整メモもクリアされます。</t>
  </si>
  <si>
    <t>※帳票を再作成すると、報告書の明細・備考も作り直されます。文章の手直しは帳票作成後に行ってください。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</si>
</sst>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yyyy/mm/dd\ hh:mm:ss"/>
    <numFmt numFmtId="178" formatCode="&quot;￥&quot;#,##0"/>
    <numFmt numFmtId="179" formatCode="&quot;明細件数：&quot;0&quot; 件&quot;"/>
  </numFmts>
  <fonts count="29">
    <font>
      <sz val="11"/>
      <name val="Carlito"/>
    </font>
    <font>
      <sz val="11"/>
      <name val="Carlito"/>
    </font>
    <font>
      <sz val="6"/>
      <name val="ＭＳ Ｐゴシック"/>
      <family val="3"/>
      <charset val="128"/>
    </font>
    <font>
      <sz val="11"/>
      <color rgb="FF243247"/>
      <name val="Meiryo UI"/>
      <family val="3"/>
      <charset val="128"/>
    </font>
    <font>
      <sz val="11"/>
      <name val="Meiryo UI"/>
      <family val="3"/>
      <charset val="128"/>
    </font>
    <font>
      <b/>
      <sz val="17"/>
      <color rgb="FF243247"/>
      <name val="Meiryo UI"/>
      <family val="3"/>
      <charset val="128"/>
    </font>
    <font>
      <b/>
      <sz val="11"/>
      <color rgb="FF243247"/>
      <name val="Meiryo UI"/>
      <family val="3"/>
      <charset val="128"/>
    </font>
    <font>
      <sz val="10"/>
      <color rgb="FF243247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1"/>
      <name val="Meiryo UI"/>
      <family val="3"/>
      <charset val="128"/>
    </font>
    <font>
      <sz val="11"/>
      <color rgb="FF202C3D"/>
      <name val="UD Digi Kyokasho N-B"/>
      <family val="1"/>
      <charset val="128"/>
    </font>
    <font>
      <sz val="11"/>
      <name val="UD Digi Kyokasho N-B"/>
      <family val="1"/>
      <charset val="128"/>
    </font>
    <font>
      <b/>
      <sz val="26"/>
      <color rgb="FF202C3D"/>
      <name val="UD Digi Kyokasho N-B"/>
      <family val="1"/>
      <charset val="128"/>
    </font>
    <font>
      <b/>
      <sz val="12"/>
      <color rgb="FF202C3D"/>
      <name val="UD Digi Kyokasho N-B"/>
      <family val="1"/>
      <charset val="128"/>
    </font>
    <font>
      <b/>
      <sz val="14"/>
      <color rgb="FF202C3D"/>
      <name val="UD Digi Kyokasho N-B"/>
      <family val="1"/>
      <charset val="128"/>
    </font>
    <font>
      <b/>
      <sz val="11"/>
      <color rgb="FF202C3D"/>
      <name val="UD Digi Kyokasho N-B"/>
      <family val="1"/>
      <charset val="128"/>
    </font>
    <font>
      <b/>
      <sz val="24"/>
      <color rgb="FF202C3D"/>
      <name val="UD Digi Kyokasho N-B"/>
      <family val="1"/>
      <charset val="128"/>
    </font>
    <font>
      <b/>
      <sz val="11"/>
      <color rgb="FF25354B"/>
      <name val="UD Digi Kyokasho N-B"/>
      <family val="1"/>
      <charset val="128"/>
    </font>
    <font>
      <sz val="11"/>
      <color rgb="FF202C3D"/>
      <name val="UD Digi Kyokasho NK-R"/>
      <family val="1"/>
      <charset val="128"/>
    </font>
    <font>
      <sz val="11"/>
      <name val="UD Digi Kyokasho NK-R"/>
      <family val="1"/>
      <charset val="128"/>
    </font>
    <font>
      <sz val="18"/>
      <color rgb="FF202C3D"/>
      <name val="UD Digi Kyokasho NK-R"/>
      <family val="1"/>
      <charset val="128"/>
    </font>
    <font>
      <sz val="11"/>
      <color rgb="FF202C3D"/>
      <name val="UD Digi Kyokasho NK-R"/>
      <family val="3"/>
      <charset val="128"/>
    </font>
    <font>
      <sz val="11"/>
      <color rgb="FF25354B"/>
      <name val="UD Digi Kyokasho NK-R"/>
      <family val="3"/>
      <charset val="128"/>
    </font>
    <font>
      <b/>
      <sz val="11"/>
      <color rgb="FF202C3D"/>
      <name val="UD Digi Kyokasho NK-R"/>
      <family val="1"/>
      <charset val="128"/>
    </font>
    <font>
      <b/>
      <sz val="11"/>
      <color rgb="FF25354B"/>
      <name val="UD Digi Kyokasho NK-R"/>
      <family val="1"/>
      <charset val="128"/>
    </font>
    <font>
      <sz val="11"/>
      <color rgb="FF243247"/>
      <name val="Segoe UI Symbol"/>
      <family val="3"/>
    </font>
    <font>
      <sz val="11"/>
      <color rgb="FF243247"/>
      <name val="Arial"/>
      <family val="2"/>
    </font>
    <font>
      <sz val="11"/>
      <name val="Arial"/>
      <family val="2"/>
    </font>
    <font>
      <sz val="11"/>
      <color rgb="FF243247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F1F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E37D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rgb="FF687582"/>
      </left>
      <right style="thin">
        <color rgb="FF687582"/>
      </right>
      <top style="thin">
        <color rgb="FF687582"/>
      </top>
      <bottom style="thin">
        <color rgb="FF687582"/>
      </bottom>
      <diagonal/>
    </border>
    <border>
      <left/>
      <right/>
      <top style="thin">
        <color rgb="FF687582"/>
      </top>
      <bottom style="thin">
        <color rgb="FF687582"/>
      </bottom>
      <diagonal/>
    </border>
    <border>
      <left style="thin">
        <color rgb="FF687582"/>
      </left>
      <right/>
      <top style="thin">
        <color rgb="FF687582"/>
      </top>
      <bottom style="thin">
        <color rgb="FF687582"/>
      </bottom>
      <diagonal/>
    </border>
    <border>
      <left/>
      <right style="thin">
        <color rgb="FF687582"/>
      </right>
      <top style="thin">
        <color rgb="FF687582"/>
      </top>
      <bottom style="thin">
        <color rgb="FF687582"/>
      </bottom>
      <diagonal/>
    </border>
    <border>
      <left/>
      <right style="thin">
        <color rgb="FF687582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rgb="FF687582"/>
      </top>
      <bottom/>
      <diagonal/>
    </border>
    <border>
      <left/>
      <right/>
      <top style="thick">
        <color auto="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/>
  </cellStyleXfs>
  <cellXfs count="122">
    <xf numFmtId="0" fontId="0" fillId="0" borderId="0" xfId="0"/>
    <xf numFmtId="0" fontId="3" fillId="0" borderId="0" xfId="1" applyFont="1" applyAlignment="1">
      <alignment vertical="center"/>
    </xf>
    <xf numFmtId="0" fontId="4" fillId="0" borderId="0" xfId="0" applyFont="1"/>
    <xf numFmtId="0" fontId="5" fillId="0" borderId="0" xfId="1" applyFont="1" applyAlignment="1">
      <alignment vertical="center"/>
    </xf>
    <xf numFmtId="49" fontId="4" fillId="0" borderId="0" xfId="0" quotePrefix="1" applyNumberFormat="1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2" fontId="4" fillId="0" borderId="0" xfId="0" applyNumberFormat="1" applyFont="1" applyAlignment="1">
      <alignment vertical="center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0" applyFont="1"/>
    <xf numFmtId="0" fontId="10" fillId="0" borderId="1" xfId="1" applyFont="1" applyBorder="1" applyAlignment="1">
      <alignment vertical="center"/>
    </xf>
    <xf numFmtId="0" fontId="17" fillId="2" borderId="1" xfId="1" applyFont="1" applyFill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0" borderId="5" xfId="1" applyFont="1" applyBorder="1" applyAlignment="1">
      <alignment horizontal="right" vertical="center"/>
    </xf>
    <xf numFmtId="3" fontId="10" fillId="0" borderId="1" xfId="1" applyNumberFormat="1" applyFont="1" applyBorder="1" applyAlignment="1">
      <alignment vertical="center"/>
    </xf>
    <xf numFmtId="9" fontId="10" fillId="0" borderId="1" xfId="1" applyNumberFormat="1" applyFont="1" applyBorder="1" applyAlignment="1">
      <alignment vertical="center"/>
    </xf>
    <xf numFmtId="3" fontId="10" fillId="2" borderId="1" xfId="1" applyNumberFormat="1" applyFont="1" applyFill="1" applyBorder="1" applyAlignment="1">
      <alignment vertical="center"/>
    </xf>
    <xf numFmtId="0" fontId="18" fillId="0" borderId="0" xfId="1" applyFont="1" applyAlignment="1">
      <alignment vertical="center"/>
    </xf>
    <xf numFmtId="0" fontId="19" fillId="0" borderId="0" xfId="0" applyFont="1"/>
    <xf numFmtId="0" fontId="21" fillId="0" borderId="1" xfId="1" applyFont="1" applyBorder="1" applyAlignment="1">
      <alignment vertical="center"/>
    </xf>
    <xf numFmtId="0" fontId="21" fillId="0" borderId="2" xfId="1" applyFont="1" applyBorder="1" applyAlignment="1">
      <alignment horizontal="center" vertical="center"/>
    </xf>
    <xf numFmtId="179" fontId="21" fillId="0" borderId="1" xfId="1" applyNumberFormat="1" applyFont="1" applyBorder="1" applyAlignment="1">
      <alignment horizontal="center" vertical="center"/>
    </xf>
    <xf numFmtId="0" fontId="21" fillId="0" borderId="1" xfId="1" applyFont="1" applyBorder="1" applyAlignment="1">
      <alignment horizontal="left" vertical="center"/>
    </xf>
    <xf numFmtId="0" fontId="22" fillId="2" borderId="1" xfId="1" applyFont="1" applyFill="1" applyBorder="1" applyAlignment="1">
      <alignment horizontal="center" vertical="center"/>
    </xf>
    <xf numFmtId="2" fontId="21" fillId="0" borderId="1" xfId="1" applyNumberFormat="1" applyFont="1" applyBorder="1" applyAlignment="1">
      <alignment vertical="top"/>
    </xf>
    <xf numFmtId="0" fontId="21" fillId="0" borderId="1" xfId="1" applyFont="1" applyBorder="1" applyAlignment="1">
      <alignment vertical="top" wrapText="1"/>
    </xf>
    <xf numFmtId="0" fontId="23" fillId="2" borderId="1" xfId="1" applyFont="1" applyFill="1" applyBorder="1" applyAlignment="1">
      <alignment vertical="center"/>
    </xf>
    <xf numFmtId="0" fontId="24" fillId="2" borderId="1" xfId="1" applyFont="1" applyFill="1" applyBorder="1" applyAlignment="1">
      <alignment horizontal="center" vertical="center"/>
    </xf>
    <xf numFmtId="0" fontId="3" fillId="0" borderId="10" xfId="1" applyFont="1" applyBorder="1" applyAlignment="1">
      <alignment vertical="center"/>
    </xf>
    <xf numFmtId="0" fontId="4" fillId="0" borderId="0" xfId="0" applyFont="1" applyAlignment="1">
      <alignment vertical="center" shrinkToFit="1"/>
    </xf>
    <xf numFmtId="176" fontId="3" fillId="0" borderId="10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77" fontId="3" fillId="0" borderId="10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vertical="center"/>
    </xf>
    <xf numFmtId="176" fontId="21" fillId="0" borderId="3" xfId="1" applyNumberFormat="1" applyFont="1" applyBorder="1" applyAlignment="1">
      <alignment vertical="center" shrinkToFit="1"/>
    </xf>
    <xf numFmtId="176" fontId="21" fillId="0" borderId="4" xfId="1" applyNumberFormat="1" applyFont="1" applyBorder="1" applyAlignment="1">
      <alignment horizontal="left" vertical="center" shrinkToFit="1"/>
    </xf>
    <xf numFmtId="176" fontId="21" fillId="0" borderId="1" xfId="1" applyNumberFormat="1" applyFont="1" applyBorder="1" applyAlignment="1">
      <alignment vertical="top" shrinkToFit="1"/>
    </xf>
    <xf numFmtId="49" fontId="26" fillId="0" borderId="0" xfId="1" quotePrefix="1" applyNumberFormat="1" applyFont="1" applyAlignment="1">
      <alignment vertical="center"/>
    </xf>
    <xf numFmtId="0" fontId="26" fillId="0" borderId="0" xfId="1" quotePrefix="1" applyFont="1" applyAlignment="1">
      <alignment vertical="center" wrapText="1"/>
    </xf>
    <xf numFmtId="0" fontId="26" fillId="0" borderId="0" xfId="1" quotePrefix="1" applyFont="1" applyAlignment="1">
      <alignment vertical="center"/>
    </xf>
    <xf numFmtId="2" fontId="26" fillId="0" borderId="0" xfId="1" applyNumberFormat="1" applyFont="1" applyAlignment="1">
      <alignment vertical="center"/>
    </xf>
    <xf numFmtId="177" fontId="26" fillId="0" borderId="0" xfId="1" applyNumberFormat="1" applyFont="1" applyAlignment="1">
      <alignment vertical="center"/>
    </xf>
    <xf numFmtId="0" fontId="26" fillId="0" borderId="0" xfId="1" applyFont="1" applyAlignment="1">
      <alignment vertical="center"/>
    </xf>
    <xf numFmtId="49" fontId="27" fillId="0" borderId="0" xfId="0" quotePrefix="1" applyNumberFormat="1" applyFont="1" applyAlignment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0" xfId="0" quotePrefix="1" applyFont="1" applyAlignment="1">
      <alignment vertical="center"/>
    </xf>
    <xf numFmtId="2" fontId="27" fillId="0" borderId="0" xfId="0" applyNumberFormat="1" applyFont="1" applyAlignment="1">
      <alignment vertical="center"/>
    </xf>
    <xf numFmtId="177" fontId="27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5" borderId="0" xfId="1" applyFont="1" applyFill="1" applyAlignment="1">
      <alignment vertical="center" wrapText="1"/>
    </xf>
    <xf numFmtId="2" fontId="26" fillId="6" borderId="0" xfId="1" applyNumberFormat="1" applyFont="1" applyFill="1" applyAlignment="1">
      <alignment vertical="center"/>
    </xf>
    <xf numFmtId="0" fontId="26" fillId="6" borderId="0" xfId="1" applyFont="1" applyFill="1" applyAlignment="1">
      <alignment vertical="center"/>
    </xf>
    <xf numFmtId="2" fontId="27" fillId="6" borderId="0" xfId="0" applyNumberFormat="1" applyFont="1" applyFill="1" applyAlignment="1">
      <alignment vertical="center"/>
    </xf>
    <xf numFmtId="0" fontId="27" fillId="6" borderId="0" xfId="0" applyFont="1" applyFill="1" applyAlignment="1">
      <alignment vertical="center"/>
    </xf>
    <xf numFmtId="2" fontId="4" fillId="6" borderId="0" xfId="0" applyNumberFormat="1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7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2" fontId="3" fillId="0" borderId="14" xfId="1" applyNumberFormat="1" applyFont="1" applyBorder="1" applyAlignment="1">
      <alignment horizontal="center" vertical="center"/>
    </xf>
    <xf numFmtId="2" fontId="3" fillId="0" borderId="21" xfId="1" applyNumberFormat="1" applyFont="1" applyBorder="1"/>
    <xf numFmtId="0" fontId="28" fillId="6" borderId="0" xfId="1" applyFont="1" applyFill="1" applyAlignment="1">
      <alignment vertical="center"/>
    </xf>
    <xf numFmtId="0" fontId="21" fillId="0" borderId="1" xfId="1" quotePrefix="1" applyFont="1" applyBorder="1" applyAlignment="1">
      <alignment vertical="top" wrapText="1"/>
    </xf>
    <xf numFmtId="2" fontId="21" fillId="0" borderId="1" xfId="1" applyNumberFormat="1" applyFont="1" applyBorder="1" applyAlignment="1">
      <alignment horizontal="center" vertical="center"/>
    </xf>
    <xf numFmtId="49" fontId="21" fillId="0" borderId="1" xfId="1" quotePrefix="1" applyNumberFormat="1" applyFont="1" applyBorder="1" applyAlignment="1">
      <alignment vertical="center"/>
    </xf>
    <xf numFmtId="0" fontId="9" fillId="0" borderId="0" xfId="0" applyFont="1"/>
    <xf numFmtId="0" fontId="10" fillId="0" borderId="3" xfId="1" applyFont="1" applyBorder="1" applyAlignment="1">
      <alignment horizontal="left" vertical="center" indent="1" shrinkToFit="1"/>
    </xf>
    <xf numFmtId="0" fontId="11" fillId="0" borderId="4" xfId="0" applyFont="1" applyBorder="1" applyAlignment="1">
      <alignment horizontal="left" vertical="center" indent="1" shrinkToFit="1"/>
    </xf>
    <xf numFmtId="0" fontId="10" fillId="2" borderId="3" xfId="1" applyFont="1" applyFill="1" applyBorder="1" applyAlignment="1">
      <alignment horizontal="left" vertical="center" indent="1" shrinkToFit="1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vertical="center"/>
    </xf>
    <xf numFmtId="0" fontId="12" fillId="0" borderId="0" xfId="1" applyFont="1" applyAlignment="1">
      <alignment horizontal="center" vertical="center"/>
    </xf>
    <xf numFmtId="176" fontId="10" fillId="0" borderId="1" xfId="1" applyNumberFormat="1" applyFont="1" applyBorder="1" applyAlignment="1">
      <alignment horizontal="center" vertical="center"/>
    </xf>
    <xf numFmtId="0" fontId="15" fillId="2" borderId="1" xfId="1" applyFont="1" applyFill="1" applyBorder="1" applyAlignment="1">
      <alignment vertical="center"/>
    </xf>
    <xf numFmtId="0" fontId="15" fillId="2" borderId="1" xfId="1" applyFont="1" applyFill="1" applyBorder="1" applyAlignment="1">
      <alignment horizontal="left" vertical="center"/>
    </xf>
    <xf numFmtId="178" fontId="16" fillId="0" borderId="1" xfId="1" applyNumberFormat="1" applyFont="1" applyBorder="1" applyAlignment="1">
      <alignment horizontal="center" vertical="center"/>
    </xf>
    <xf numFmtId="0" fontId="10" fillId="0" borderId="1" xfId="1" applyFont="1" applyBorder="1" applyAlignment="1">
      <alignment vertical="center" wrapText="1"/>
    </xf>
    <xf numFmtId="0" fontId="10" fillId="2" borderId="1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2" fontId="10" fillId="0" borderId="1" xfId="1" applyNumberFormat="1" applyFont="1" applyBorder="1" applyAlignment="1">
      <alignment horizontal="right" vertical="center"/>
    </xf>
    <xf numFmtId="3" fontId="10" fillId="0" borderId="1" xfId="1" applyNumberFormat="1" applyFont="1" applyBorder="1" applyAlignment="1">
      <alignment horizontal="right" vertical="center"/>
    </xf>
    <xf numFmtId="0" fontId="20" fillId="0" borderId="0" xfId="1" applyFont="1" applyAlignment="1">
      <alignment horizontal="center" vertical="center"/>
    </xf>
    <xf numFmtId="0" fontId="21" fillId="0" borderId="0" xfId="1" applyFont="1" applyAlignment="1">
      <alignment vertical="center"/>
    </xf>
    <xf numFmtId="0" fontId="13" fillId="0" borderId="0" xfId="1" quotePrefix="1" applyFont="1" applyFill="1" applyAlignment="1">
      <alignment vertical="center"/>
    </xf>
    <xf numFmtId="0" fontId="13" fillId="0" borderId="0" xfId="1" applyFont="1" applyFill="1" applyAlignment="1">
      <alignment vertical="center"/>
    </xf>
    <xf numFmtId="0" fontId="10" fillId="0" borderId="0" xfId="1" quotePrefix="1" applyFont="1" applyFill="1" applyAlignment="1">
      <alignment vertical="center"/>
    </xf>
    <xf numFmtId="0" fontId="10" fillId="0" borderId="0" xfId="1" applyFont="1" applyFill="1" applyAlignment="1">
      <alignment vertical="center"/>
    </xf>
    <xf numFmtId="0" fontId="10" fillId="0" borderId="0" xfId="1" quotePrefix="1" applyFont="1" applyFill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0" fontId="10" fillId="7" borderId="1" xfId="1" applyFont="1" applyFill="1" applyBorder="1" applyAlignment="1">
      <alignment horizontal="center" vertical="center"/>
    </xf>
    <xf numFmtId="0" fontId="14" fillId="7" borderId="0" xfId="1" applyFont="1" applyFill="1" applyAlignment="1">
      <alignment vertical="center"/>
    </xf>
    <xf numFmtId="0" fontId="10" fillId="7" borderId="0" xfId="1" applyFont="1" applyFill="1" applyAlignment="1">
      <alignment vertical="center"/>
    </xf>
    <xf numFmtId="0" fontId="10" fillId="7" borderId="0" xfId="1" applyFont="1" applyFill="1" applyAlignment="1">
      <alignment vertical="center"/>
    </xf>
    <xf numFmtId="0" fontId="10" fillId="7" borderId="0" xfId="1" applyFont="1" applyFill="1" applyAlignment="1">
      <alignment vertical="center" shrinkToFit="1"/>
    </xf>
    <xf numFmtId="0" fontId="11" fillId="7" borderId="0" xfId="0" applyFont="1" applyFill="1" applyAlignment="1">
      <alignment vertical="center" shrinkToFit="1"/>
    </xf>
    <xf numFmtId="0" fontId="10" fillId="7" borderId="1" xfId="1" applyFont="1" applyFill="1" applyBorder="1" applyAlignment="1">
      <alignment vertical="center" wrapText="1"/>
    </xf>
    <xf numFmtId="3" fontId="10" fillId="7" borderId="1" xfId="1" applyNumberFormat="1" applyFont="1" applyFill="1" applyBorder="1" applyAlignment="1">
      <alignment horizontal="right" vertical="center"/>
    </xf>
    <xf numFmtId="0" fontId="21" fillId="7" borderId="1" xfId="1" applyFont="1" applyFill="1" applyBorder="1" applyAlignment="1">
      <alignment vertical="center"/>
    </xf>
    <xf numFmtId="2" fontId="3" fillId="8" borderId="17" xfId="1" applyNumberFormat="1" applyFont="1" applyFill="1" applyBorder="1" applyAlignment="1">
      <alignment horizontal="left" vertical="center" wrapText="1"/>
    </xf>
    <xf numFmtId="0" fontId="0" fillId="8" borderId="18" xfId="0" applyFill="1" applyBorder="1" applyAlignment="1">
      <alignment horizontal="left" vertical="center" wrapText="1"/>
    </xf>
    <xf numFmtId="0" fontId="0" fillId="8" borderId="15" xfId="0" applyFill="1" applyBorder="1" applyAlignment="1">
      <alignment horizontal="left" vertical="center" wrapText="1"/>
    </xf>
    <xf numFmtId="0" fontId="0" fillId="8" borderId="20" xfId="0" applyFill="1" applyBorder="1" applyAlignment="1">
      <alignment horizontal="left" vertical="center" wrapText="1"/>
    </xf>
    <xf numFmtId="0" fontId="0" fillId="8" borderId="16" xfId="0" applyFill="1" applyBorder="1" applyAlignment="1">
      <alignment horizontal="left" vertical="center" wrapText="1"/>
    </xf>
    <xf numFmtId="0" fontId="0" fillId="8" borderId="19" xfId="0" applyFill="1" applyBorder="1" applyAlignment="1">
      <alignment horizontal="left" vertical="center" wrapText="1"/>
    </xf>
    <xf numFmtId="0" fontId="6" fillId="9" borderId="6" xfId="1" applyFont="1" applyFill="1" applyBorder="1" applyAlignment="1">
      <alignment vertical="center"/>
    </xf>
    <xf numFmtId="0" fontId="3" fillId="9" borderId="7" xfId="1" applyFont="1" applyFill="1" applyBorder="1" applyAlignment="1">
      <alignment vertical="center"/>
    </xf>
    <xf numFmtId="0" fontId="3" fillId="9" borderId="8" xfId="1" applyFont="1" applyFill="1" applyBorder="1" applyAlignment="1">
      <alignment vertical="center"/>
    </xf>
    <xf numFmtId="0" fontId="3" fillId="9" borderId="9" xfId="1" applyFont="1" applyFill="1" applyBorder="1" applyAlignment="1">
      <alignment vertical="center"/>
    </xf>
    <xf numFmtId="0" fontId="4" fillId="9" borderId="8" xfId="0" applyFont="1" applyFill="1" applyBorder="1"/>
    <xf numFmtId="176" fontId="3" fillId="0" borderId="23" xfId="1" applyNumberFormat="1" applyFont="1" applyBorder="1" applyAlignment="1">
      <alignment horizontal="center" vertical="center"/>
    </xf>
    <xf numFmtId="176" fontId="3" fillId="6" borderId="22" xfId="1" applyNumberFormat="1" applyFont="1" applyFill="1" applyBorder="1" applyAlignment="1">
      <alignment horizontal="center" vertical="center"/>
    </xf>
    <xf numFmtId="2" fontId="3" fillId="8" borderId="22" xfId="1" applyNumberFormat="1" applyFont="1" applyFill="1" applyBorder="1" applyAlignment="1">
      <alignment horizontal="center" vertical="center"/>
    </xf>
    <xf numFmtId="0" fontId="3" fillId="7" borderId="14" xfId="1" applyFont="1" applyFill="1" applyBorder="1" applyAlignment="1">
      <alignment horizontal="center" vertical="center"/>
    </xf>
    <xf numFmtId="0" fontId="3" fillId="7" borderId="10" xfId="1" applyFont="1" applyFill="1" applyBorder="1" applyAlignment="1">
      <alignment horizontal="center" vertical="center"/>
    </xf>
    <xf numFmtId="0" fontId="21" fillId="0" borderId="1" xfId="1" quotePrefix="1" applyFont="1" applyFill="1" applyBorder="1" applyAlignment="1">
      <alignment vertical="center"/>
    </xf>
    <xf numFmtId="0" fontId="21" fillId="0" borderId="1" xfId="1" applyFont="1" applyFill="1" applyBorder="1" applyAlignment="1">
      <alignment vertical="center"/>
    </xf>
    <xf numFmtId="2" fontId="26" fillId="9" borderId="0" xfId="1" applyNumberFormat="1" applyFont="1" applyFill="1" applyAlignment="1">
      <alignment vertical="center"/>
    </xf>
    <xf numFmtId="2" fontId="4" fillId="9" borderId="0" xfId="0" applyNumberFormat="1" applyFont="1" applyFill="1" applyAlignment="1">
      <alignment vertical="center"/>
    </xf>
  </cellXfs>
  <cellStyles count="2">
    <cellStyle name="Normal" xfId="1" xr:uid="{00000000-0005-0000-0000-000000000000}"/>
    <cellStyle name="標準" xfId="0" builtinId="0"/>
  </cellStyles>
  <dxfs count="0"/>
  <tableStyles count="0" defaultTableStyle="TableStyleMedium2" defaultPivotStyle="PivotStyleLight16"/>
  <colors>
    <mruColors>
      <color rgb="FFE7FFFF"/>
      <color rgb="FFFFFFCC"/>
      <color rgb="FFCAEDFB"/>
      <color rgb="FFFFE37D"/>
      <color rgb="FFFFF1BD"/>
      <color rgb="FFFFF0BC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322730</xdr:colOff>
      <xdr:row>4</xdr:row>
      <xdr:rowOff>98613</xdr:rowOff>
    </xdr:from>
    <xdr:to>
      <xdr:col>5</xdr:col>
      <xdr:colOff>851648</xdr:colOff>
      <xdr:row>5</xdr:row>
      <xdr:rowOff>98613</xdr:rowOff>
    </xdr:to>
    <xdr:sp macro="[0]!Fetch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8D651A5-3777-F66D-DA0B-22104BF3E336}"/>
            </a:ext>
          </a:extLst>
        </xdr:cNvPr>
        <xdr:cNvSpPr/>
      </xdr:nvSpPr>
      <xdr:spPr>
        <a:xfrm>
          <a:off x="5513295" y="1667437"/>
          <a:ext cx="2510118" cy="313764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rPr>
            <a:t>データ取得</a:t>
          </a:r>
          <a:endParaRPr kumimoji="1" lang="en-US" altLang="ja-JP" sz="1100" b="1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313765</xdr:colOff>
      <xdr:row>8</xdr:row>
      <xdr:rowOff>116539</xdr:rowOff>
    </xdr:from>
    <xdr:to>
      <xdr:col>5</xdr:col>
      <xdr:colOff>842683</xdr:colOff>
      <xdr:row>9</xdr:row>
      <xdr:rowOff>116538</xdr:rowOff>
    </xdr:to>
    <xdr:sp macro="[0]!CreateDocumen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E86FDEF9-61FB-ACC8-0602-57BE1E897471}"/>
            </a:ext>
          </a:extLst>
        </xdr:cNvPr>
        <xdr:cNvSpPr/>
      </xdr:nvSpPr>
      <xdr:spPr>
        <a:xfrm>
          <a:off x="5504330" y="2438398"/>
          <a:ext cx="2510118" cy="313764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rPr>
            <a:t>帳票作成</a:t>
          </a:r>
          <a:endParaRPr kumimoji="1" lang="en-US" altLang="ja-JP" sz="1100" b="1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313765</xdr:colOff>
      <xdr:row>11</xdr:row>
      <xdr:rowOff>134472</xdr:rowOff>
    </xdr:from>
    <xdr:to>
      <xdr:col>5</xdr:col>
      <xdr:colOff>842683</xdr:colOff>
      <xdr:row>12</xdr:row>
      <xdr:rowOff>170330</xdr:rowOff>
    </xdr:to>
    <xdr:sp macro="[0]!ExportDocumentsPdf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626BD417-9BB3-2A60-79FE-1E4F01417F6B}"/>
            </a:ext>
          </a:extLst>
        </xdr:cNvPr>
        <xdr:cNvSpPr/>
      </xdr:nvSpPr>
      <xdr:spPr>
        <a:xfrm>
          <a:off x="5504330" y="3397625"/>
          <a:ext cx="2510118" cy="349623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</a:rPr>
            <a:t>PDF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rPr>
            <a:t>出力</a:t>
          </a:r>
          <a:endParaRPr kumimoji="1" lang="en-US" altLang="ja-JP" sz="1100" b="1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63E62"/>
    <pageSetUpPr fitToPage="1"/>
  </sheetPr>
  <dimension ref="A1:I35"/>
  <sheetViews>
    <sheetView showGridLines="0" tabSelected="1" zoomScale="85" zoomScaleNormal="85" workbookViewId="0">
      <selection activeCell="C4" sqref="C4"/>
    </sheetView>
  </sheetViews>
  <sheetFormatPr defaultRowHeight="15"/>
  <cols>
    <col min="1" max="1" width="3" style="2" customWidth="1"/>
    <col min="2" max="2" width="27" style="2" customWidth="1"/>
    <col min="3" max="3" width="26" style="2" customWidth="1"/>
    <col min="4" max="4" width="12" style="2" customWidth="1"/>
    <col min="5" max="5" width="26" style="2" customWidth="1"/>
    <col min="6" max="6" width="22.19921875" style="2" customWidth="1"/>
    <col min="7" max="16384" width="8.796875" style="2"/>
  </cols>
  <sheetData>
    <row r="1" spans="1:9" ht="9.6" customHeight="1">
      <c r="A1" s="1"/>
      <c r="B1" s="1"/>
      <c r="C1" s="1"/>
      <c r="D1" s="1"/>
      <c r="E1" s="1"/>
      <c r="F1" s="1"/>
    </row>
    <row r="2" spans="1:9" ht="25.05" customHeight="1" thickBot="1">
      <c r="A2" s="1"/>
      <c r="B2" s="3" t="s">
        <v>0</v>
      </c>
      <c r="C2" s="1"/>
      <c r="D2" s="1"/>
      <c r="E2" s="1"/>
      <c r="F2" s="1"/>
    </row>
    <row r="3" spans="1:9" ht="25.05" customHeight="1" thickTop="1">
      <c r="A3" s="1"/>
      <c r="B3" s="30" t="s">
        <v>75</v>
      </c>
      <c r="C3" s="116">
        <v>9664</v>
      </c>
      <c r="D3" s="1"/>
      <c r="E3" s="108" t="s">
        <v>64</v>
      </c>
      <c r="F3" s="109"/>
      <c r="H3" s="2" t="s">
        <v>97</v>
      </c>
    </row>
    <row r="4" spans="1:9" ht="25.05" customHeight="1">
      <c r="A4" s="1"/>
      <c r="B4" s="62" t="s">
        <v>1</v>
      </c>
      <c r="C4" s="114">
        <v>46296</v>
      </c>
      <c r="D4" s="1"/>
      <c r="E4" s="110" t="s">
        <v>96</v>
      </c>
      <c r="F4" s="111"/>
      <c r="H4" s="2" t="s">
        <v>98</v>
      </c>
    </row>
    <row r="5" spans="1:9" ht="25.05" customHeight="1">
      <c r="A5" s="1"/>
      <c r="B5" s="30" t="s">
        <v>2</v>
      </c>
      <c r="C5" s="113">
        <f>EOMONTH(C4,0)</f>
        <v>46326</v>
      </c>
      <c r="D5" s="1"/>
      <c r="E5" s="112"/>
      <c r="F5" s="111"/>
      <c r="H5" s="2" t="s">
        <v>99</v>
      </c>
    </row>
    <row r="6" spans="1:9" ht="25.05" customHeight="1">
      <c r="A6" s="1"/>
      <c r="C6" s="33"/>
      <c r="D6" s="1"/>
      <c r="E6" s="112"/>
      <c r="F6" s="111"/>
      <c r="H6" s="2" t="s">
        <v>95</v>
      </c>
    </row>
    <row r="7" spans="1:9" ht="25.05" customHeight="1">
      <c r="A7" s="1"/>
      <c r="B7" s="30" t="s">
        <v>68</v>
      </c>
      <c r="C7" s="117">
        <v>10233</v>
      </c>
      <c r="D7" s="1"/>
      <c r="E7" s="110" t="s">
        <v>65</v>
      </c>
      <c r="F7" s="111"/>
      <c r="H7" s="2" t="s">
        <v>100</v>
      </c>
    </row>
    <row r="8" spans="1:9" ht="25.05" customHeight="1">
      <c r="A8" s="1"/>
      <c r="B8" s="30" t="s">
        <v>69</v>
      </c>
      <c r="C8" s="117" t="s">
        <v>70</v>
      </c>
      <c r="D8" s="1"/>
      <c r="E8" s="110" t="s">
        <v>76</v>
      </c>
      <c r="F8" s="111"/>
      <c r="H8" s="2" t="s">
        <v>101</v>
      </c>
    </row>
    <row r="9" spans="1:9" ht="25.05" customHeight="1">
      <c r="A9" s="1"/>
      <c r="B9" s="30" t="s">
        <v>72</v>
      </c>
      <c r="C9" s="117" t="s">
        <v>91</v>
      </c>
      <c r="D9" s="1"/>
      <c r="E9" s="112"/>
      <c r="F9" s="111"/>
      <c r="I9" s="1"/>
    </row>
    <row r="10" spans="1:9" ht="25.05" customHeight="1">
      <c r="A10" s="1"/>
      <c r="B10" s="30" t="s">
        <v>71</v>
      </c>
      <c r="C10" s="117" t="s">
        <v>90</v>
      </c>
      <c r="D10" s="1"/>
      <c r="E10" s="112"/>
      <c r="F10" s="111"/>
      <c r="I10" s="1"/>
    </row>
    <row r="11" spans="1:9" ht="25.05" customHeight="1">
      <c r="A11" s="1"/>
      <c r="D11" s="1"/>
      <c r="E11" s="110" t="s">
        <v>74</v>
      </c>
      <c r="F11" s="111"/>
      <c r="I11" s="1"/>
    </row>
    <row r="12" spans="1:9" ht="25.05" customHeight="1">
      <c r="A12" s="1"/>
      <c r="B12" s="30" t="s">
        <v>3</v>
      </c>
      <c r="C12" s="34">
        <v>46323.668414351851</v>
      </c>
      <c r="D12" s="1"/>
      <c r="E12" s="112"/>
      <c r="F12" s="111"/>
    </row>
    <row r="13" spans="1:9" ht="25.05" customHeight="1" thickBot="1">
      <c r="A13" s="1"/>
      <c r="B13" s="30" t="s">
        <v>4</v>
      </c>
      <c r="C13" s="32">
        <v>46296</v>
      </c>
      <c r="D13" s="1"/>
      <c r="E13" s="110"/>
      <c r="F13" s="111"/>
    </row>
    <row r="14" spans="1:9" ht="25.05" customHeight="1" thickTop="1">
      <c r="A14" s="1"/>
      <c r="B14" s="30" t="s">
        <v>5</v>
      </c>
      <c r="C14" s="32">
        <v>46326</v>
      </c>
      <c r="D14" s="1"/>
      <c r="E14" s="64" t="s">
        <v>73</v>
      </c>
      <c r="F14" s="61"/>
    </row>
    <row r="15" spans="1:9" ht="28.05" customHeight="1">
      <c r="A15" s="1"/>
      <c r="B15" s="30" t="s">
        <v>6</v>
      </c>
      <c r="C15" s="35">
        <v>5</v>
      </c>
      <c r="D15" s="31"/>
      <c r="E15" s="102" t="s">
        <v>93</v>
      </c>
      <c r="F15" s="103"/>
    </row>
    <row r="16" spans="1:9" ht="25.05" customHeight="1">
      <c r="A16" s="1"/>
      <c r="B16" s="30" t="s">
        <v>7</v>
      </c>
      <c r="C16" s="63">
        <f>SUM(取得データ!F:F)</f>
        <v>17</v>
      </c>
      <c r="D16" s="1"/>
      <c r="E16" s="104"/>
      <c r="F16" s="105"/>
    </row>
    <row r="17" spans="1:9" ht="24.6" customHeight="1">
      <c r="A17" s="1"/>
      <c r="B17" s="62" t="s">
        <v>77</v>
      </c>
      <c r="C17" s="115">
        <f>SUM(取得データ!I:I)</f>
        <v>15</v>
      </c>
      <c r="D17" s="1"/>
      <c r="E17" s="106"/>
      <c r="F17" s="107"/>
    </row>
    <row r="18" spans="1:9" ht="24.6" customHeight="1">
      <c r="A18" s="1"/>
      <c r="D18" s="1"/>
      <c r="E18" s="1"/>
      <c r="F18" s="1"/>
    </row>
    <row r="19" spans="1:9" ht="24.6" customHeight="1">
      <c r="A19" s="1"/>
      <c r="D19" s="1"/>
      <c r="E19" s="1"/>
      <c r="F19" s="1"/>
      <c r="G19" s="69"/>
      <c r="H19" s="69"/>
      <c r="I19" s="69"/>
    </row>
    <row r="20" spans="1:9" ht="24.6" customHeight="1">
      <c r="A20" s="1"/>
      <c r="D20" s="1"/>
      <c r="E20" s="1"/>
      <c r="F20" s="1"/>
    </row>
    <row r="21" spans="1:9" ht="24.6" customHeight="1">
      <c r="A21" s="1"/>
      <c r="D21" s="1"/>
      <c r="E21" s="1"/>
      <c r="F21" s="1"/>
    </row>
    <row r="22" spans="1:9" ht="24.6" customHeight="1">
      <c r="A22" s="1"/>
      <c r="D22" s="1"/>
      <c r="E22" s="1"/>
      <c r="F22" s="1"/>
    </row>
    <row r="23" spans="1:9" ht="24.6" customHeight="1">
      <c r="A23" s="1"/>
      <c r="D23" s="1"/>
      <c r="E23" s="1"/>
      <c r="F23" s="1"/>
    </row>
    <row r="24" spans="1:9" ht="25.05" customHeight="1">
      <c r="A24" s="1"/>
      <c r="B24" s="1"/>
      <c r="C24" s="1"/>
      <c r="D24" s="1"/>
      <c r="E24" s="1"/>
      <c r="F24" s="1"/>
    </row>
    <row r="25" spans="1:9" ht="25.05" customHeight="1">
      <c r="A25" s="1"/>
      <c r="B25" s="1"/>
      <c r="C25" s="1"/>
      <c r="D25" s="1"/>
      <c r="E25" s="1"/>
      <c r="F25" s="1"/>
    </row>
    <row r="26" spans="1:9" ht="25.05" customHeight="1">
      <c r="A26" s="1"/>
      <c r="B26" s="1"/>
      <c r="C26" s="1"/>
      <c r="D26" s="1"/>
      <c r="E26" s="1"/>
      <c r="F26" s="1"/>
    </row>
    <row r="27" spans="1:9" ht="25.05" customHeight="1">
      <c r="A27" s="1"/>
      <c r="B27" s="1"/>
      <c r="C27" s="1"/>
      <c r="D27" s="1"/>
      <c r="E27" s="1"/>
      <c r="F27" s="1"/>
    </row>
    <row r="28" spans="1:9" ht="25.05" customHeight="1">
      <c r="A28" s="1"/>
      <c r="B28" s="1"/>
      <c r="C28" s="1"/>
      <c r="D28" s="1"/>
      <c r="E28" s="1"/>
      <c r="F28" s="1"/>
    </row>
    <row r="29" spans="1:9" ht="25.05" customHeight="1">
      <c r="A29" s="1"/>
      <c r="B29" s="1"/>
      <c r="C29" s="1"/>
      <c r="D29" s="1"/>
      <c r="E29" s="1"/>
      <c r="F29" s="1"/>
    </row>
    <row r="30" spans="1:9" ht="25.05" customHeight="1">
      <c r="A30" s="1"/>
      <c r="B30" s="1"/>
      <c r="C30" s="1"/>
      <c r="D30" s="1"/>
      <c r="E30" s="1"/>
      <c r="F30" s="1"/>
    </row>
    <row r="31" spans="1:9" ht="25.05" customHeight="1">
      <c r="A31" s="1"/>
      <c r="B31" s="1"/>
      <c r="C31" s="1"/>
      <c r="D31" s="1"/>
      <c r="E31" s="1"/>
      <c r="F31" s="1"/>
    </row>
    <row r="32" spans="1:9" ht="25.05" customHeight="1">
      <c r="A32" s="1"/>
      <c r="B32" s="1"/>
      <c r="C32" s="1"/>
      <c r="D32" s="1"/>
      <c r="E32" s="1"/>
      <c r="F32" s="1"/>
    </row>
    <row r="33" spans="1:6" ht="25.05" customHeight="1">
      <c r="A33" s="1"/>
      <c r="B33" s="1"/>
      <c r="C33" s="1"/>
      <c r="D33" s="1"/>
      <c r="E33" s="1"/>
      <c r="F33" s="1"/>
    </row>
    <row r="34" spans="1:6" ht="25.05" customHeight="1">
      <c r="A34" s="1"/>
      <c r="B34" s="1"/>
      <c r="C34" s="1"/>
      <c r="D34" s="1"/>
      <c r="E34" s="1"/>
      <c r="F34" s="1"/>
    </row>
    <row r="35" spans="1:6" ht="25.05" customHeight="1">
      <c r="A35" s="1"/>
      <c r="B35" s="1"/>
      <c r="C35" s="1"/>
      <c r="D35" s="1"/>
      <c r="E35" s="1"/>
      <c r="F35" s="1"/>
    </row>
  </sheetData>
  <mergeCells count="2">
    <mergeCell ref="G19:I19"/>
    <mergeCell ref="E15:F17"/>
  </mergeCells>
  <phoneticPr fontId="2"/>
  <dataValidations count="1">
    <dataValidation type="date" allowBlank="1" showInputMessage="1" showErrorMessage="1" sqref="C4:C5" xr:uid="{DC24E787-CDB2-4958-A49D-607DD2F2574C}">
      <formula1>1</formula1>
      <formula2>2958100</formula2>
    </dataValidation>
  </dataValidations>
  <pageMargins left="0.7" right="0.7" top="0.75" bottom="0.75" header="0.3" footer="0.3"/>
  <pageSetup paperSize="9" scale="78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AB9CE"/>
  </sheetPr>
  <dimension ref="A1:Q54"/>
  <sheetViews>
    <sheetView showGridLines="0" zoomScale="70" zoomScaleNormal="70" workbookViewId="0">
      <pane xSplit="2" ySplit="1" topLeftCell="C28" activePane="bottomRight" state="frozenSplit"/>
      <selection pane="topRight"/>
      <selection pane="bottomLeft"/>
      <selection pane="bottomRight" activeCell="I2" sqref="I2:I54"/>
    </sheetView>
  </sheetViews>
  <sheetFormatPr defaultRowHeight="15"/>
  <cols>
    <col min="1" max="1" width="13" style="2" customWidth="1"/>
    <col min="2" max="2" width="32" style="2" customWidth="1"/>
    <col min="3" max="3" width="28" style="2" customWidth="1"/>
    <col min="4" max="4" width="44" style="2" customWidth="1"/>
    <col min="5" max="5" width="14" style="2" customWidth="1"/>
    <col min="6" max="6" width="17" style="2" customWidth="1"/>
    <col min="7" max="7" width="18" style="2" customWidth="1"/>
    <col min="8" max="8" width="30" style="2" customWidth="1"/>
    <col min="9" max="9" width="18" style="2" customWidth="1"/>
    <col min="10" max="13" width="24" style="2" customWidth="1"/>
    <col min="14" max="14" width="18" style="2" customWidth="1"/>
    <col min="15" max="15" width="15" style="2" customWidth="1"/>
    <col min="16" max="16" width="17" style="2" customWidth="1"/>
    <col min="17" max="17" width="24" style="2" customWidth="1"/>
    <col min="18" max="16384" width="8.796875" style="2"/>
  </cols>
  <sheetData>
    <row r="1" spans="1:17" ht="37.950000000000003" customHeight="1">
      <c r="A1" s="52" t="s">
        <v>11</v>
      </c>
      <c r="B1" s="52" t="s">
        <v>12</v>
      </c>
      <c r="C1" s="52" t="s">
        <v>10</v>
      </c>
      <c r="D1" s="52" t="s">
        <v>13</v>
      </c>
      <c r="E1" s="52" t="s">
        <v>14</v>
      </c>
      <c r="F1" s="52" t="s">
        <v>15</v>
      </c>
      <c r="G1" s="53" t="s">
        <v>21</v>
      </c>
      <c r="H1" s="53" t="s">
        <v>22</v>
      </c>
      <c r="I1" s="54" t="s">
        <v>8</v>
      </c>
      <c r="J1" s="52" t="s">
        <v>16</v>
      </c>
      <c r="K1" s="52" t="s">
        <v>17</v>
      </c>
      <c r="L1" s="52" t="s">
        <v>18</v>
      </c>
      <c r="M1" s="52" t="s">
        <v>19</v>
      </c>
      <c r="N1" s="52" t="s">
        <v>20</v>
      </c>
      <c r="O1" s="52" t="s">
        <v>9</v>
      </c>
      <c r="P1" s="52" t="s">
        <v>23</v>
      </c>
      <c r="Q1" s="52" t="s">
        <v>3</v>
      </c>
    </row>
    <row r="2" spans="1:17" ht="25.05" customHeight="1">
      <c r="A2" s="40" t="s">
        <v>57</v>
      </c>
      <c r="B2" s="41" t="s">
        <v>78</v>
      </c>
      <c r="C2" s="41" t="s">
        <v>79</v>
      </c>
      <c r="D2" s="41" t="s">
        <v>80</v>
      </c>
      <c r="E2" s="42" t="s">
        <v>81</v>
      </c>
      <c r="F2" s="43">
        <v>1</v>
      </c>
      <c r="G2" s="55"/>
      <c r="H2" s="56"/>
      <c r="I2" s="120">
        <f t="shared" ref="I2:I6" si="0">IF(G2="",F2,IF(ISNUMBER(G2),IF(G2&gt;=0,G2,NA()),NA()))</f>
        <v>1</v>
      </c>
      <c r="J2" s="44">
        <v>46296.416666666664</v>
      </c>
      <c r="K2" s="44">
        <v>46296.458333333336</v>
      </c>
      <c r="L2" s="44"/>
      <c r="M2" s="44"/>
      <c r="N2" s="45">
        <v>0</v>
      </c>
      <c r="O2" s="40" t="s">
        <v>58</v>
      </c>
      <c r="P2" s="45">
        <v>1</v>
      </c>
      <c r="Q2" s="44">
        <v>46323.668414351851</v>
      </c>
    </row>
    <row r="3" spans="1:17">
      <c r="A3" s="40" t="s">
        <v>59</v>
      </c>
      <c r="B3" s="41" t="s">
        <v>82</v>
      </c>
      <c r="C3" s="41" t="s">
        <v>79</v>
      </c>
      <c r="D3" s="41" t="s">
        <v>83</v>
      </c>
      <c r="E3" s="42" t="s">
        <v>81</v>
      </c>
      <c r="F3" s="43">
        <v>5</v>
      </c>
      <c r="G3" s="55"/>
      <c r="H3" s="65"/>
      <c r="I3" s="120">
        <f t="shared" si="0"/>
        <v>5</v>
      </c>
      <c r="J3" s="44">
        <v>46297.4375</v>
      </c>
      <c r="K3" s="44">
        <v>46297.729166666664</v>
      </c>
      <c r="L3" s="44"/>
      <c r="M3" s="44"/>
      <c r="N3" s="45">
        <v>120</v>
      </c>
      <c r="O3" s="40" t="s">
        <v>58</v>
      </c>
      <c r="P3" s="45">
        <v>1</v>
      </c>
      <c r="Q3" s="44">
        <v>46323.668414351851</v>
      </c>
    </row>
    <row r="4" spans="1:17">
      <c r="A4" s="40" t="s">
        <v>60</v>
      </c>
      <c r="B4" s="41" t="s">
        <v>82</v>
      </c>
      <c r="C4" s="41" t="s">
        <v>79</v>
      </c>
      <c r="D4" s="41" t="s">
        <v>84</v>
      </c>
      <c r="E4" s="42" t="s">
        <v>81</v>
      </c>
      <c r="F4" s="43">
        <v>6</v>
      </c>
      <c r="G4" s="55">
        <v>4</v>
      </c>
      <c r="H4" s="65" t="s">
        <v>87</v>
      </c>
      <c r="I4" s="120">
        <f t="shared" si="0"/>
        <v>4</v>
      </c>
      <c r="J4" s="44">
        <v>46298.416666666664</v>
      </c>
      <c r="K4" s="44">
        <v>46298.75</v>
      </c>
      <c r="L4" s="44"/>
      <c r="M4" s="44"/>
      <c r="N4" s="45">
        <v>120</v>
      </c>
      <c r="O4" s="40" t="s">
        <v>58</v>
      </c>
      <c r="P4" s="45">
        <v>1</v>
      </c>
      <c r="Q4" s="44">
        <v>46323.668414351851</v>
      </c>
    </row>
    <row r="5" spans="1:17">
      <c r="A5" s="40" t="s">
        <v>61</v>
      </c>
      <c r="B5" s="41" t="s">
        <v>82</v>
      </c>
      <c r="C5" s="41" t="s">
        <v>79</v>
      </c>
      <c r="D5" s="41" t="s">
        <v>85</v>
      </c>
      <c r="E5" s="42" t="s">
        <v>81</v>
      </c>
      <c r="F5" s="43">
        <v>1</v>
      </c>
      <c r="G5" s="55"/>
      <c r="H5" s="56"/>
      <c r="I5" s="120">
        <f t="shared" si="0"/>
        <v>1</v>
      </c>
      <c r="J5" s="44">
        <v>46296.479166666664</v>
      </c>
      <c r="K5" s="44">
        <v>46296.520833333336</v>
      </c>
      <c r="L5" s="44"/>
      <c r="M5" s="44"/>
      <c r="N5" s="45">
        <v>0</v>
      </c>
      <c r="O5" s="40" t="s">
        <v>58</v>
      </c>
      <c r="P5" s="45">
        <v>1</v>
      </c>
      <c r="Q5" s="44">
        <v>46323.668414351851</v>
      </c>
    </row>
    <row r="6" spans="1:17">
      <c r="A6" s="40" t="s">
        <v>62</v>
      </c>
      <c r="B6" s="41" t="s">
        <v>82</v>
      </c>
      <c r="C6" s="41" t="s">
        <v>79</v>
      </c>
      <c r="D6" s="41" t="s">
        <v>85</v>
      </c>
      <c r="E6" s="42" t="s">
        <v>81</v>
      </c>
      <c r="F6" s="43">
        <v>4</v>
      </c>
      <c r="G6" s="55"/>
      <c r="H6" s="56"/>
      <c r="I6" s="120">
        <f t="shared" si="0"/>
        <v>4</v>
      </c>
      <c r="J6" s="44">
        <v>46296.583333333336</v>
      </c>
      <c r="K6" s="44">
        <v>46296.75</v>
      </c>
      <c r="L6" s="44"/>
      <c r="M6" s="44"/>
      <c r="N6" s="45">
        <v>0</v>
      </c>
      <c r="O6" s="40" t="s">
        <v>58</v>
      </c>
      <c r="P6" s="45">
        <v>1</v>
      </c>
      <c r="Q6" s="44">
        <v>46323.668414351851</v>
      </c>
    </row>
    <row r="7" spans="1:17">
      <c r="A7" s="40"/>
      <c r="B7" s="41"/>
      <c r="C7" s="41"/>
      <c r="D7" s="41"/>
      <c r="E7" s="42"/>
      <c r="F7" s="43"/>
      <c r="G7" s="55"/>
      <c r="H7" s="56"/>
      <c r="I7" s="120"/>
      <c r="J7" s="44"/>
      <c r="K7" s="44"/>
      <c r="L7" s="44"/>
      <c r="M7" s="44"/>
      <c r="N7" s="45"/>
      <c r="O7" s="40"/>
      <c r="P7" s="45"/>
      <c r="Q7" s="44"/>
    </row>
    <row r="8" spans="1:17">
      <c r="A8" s="40"/>
      <c r="B8" s="41"/>
      <c r="C8" s="41"/>
      <c r="D8" s="41"/>
      <c r="E8" s="42"/>
      <c r="F8" s="43"/>
      <c r="G8" s="55"/>
      <c r="H8" s="56"/>
      <c r="I8" s="120"/>
      <c r="J8" s="44"/>
      <c r="K8" s="44"/>
      <c r="L8" s="44"/>
      <c r="M8" s="44"/>
      <c r="N8" s="45"/>
      <c r="O8" s="40"/>
      <c r="P8" s="45"/>
      <c r="Q8" s="44"/>
    </row>
    <row r="9" spans="1:17">
      <c r="A9" s="40"/>
      <c r="B9" s="41"/>
      <c r="C9" s="41"/>
      <c r="D9" s="41"/>
      <c r="E9" s="42"/>
      <c r="F9" s="43"/>
      <c r="G9" s="55"/>
      <c r="H9" s="56"/>
      <c r="I9" s="120"/>
      <c r="J9" s="44"/>
      <c r="K9" s="44"/>
      <c r="L9" s="44"/>
      <c r="M9" s="44"/>
      <c r="N9" s="45"/>
      <c r="O9" s="40"/>
      <c r="P9" s="45"/>
      <c r="Q9" s="44"/>
    </row>
    <row r="10" spans="1:17">
      <c r="A10" s="40"/>
      <c r="B10" s="41"/>
      <c r="C10" s="41"/>
      <c r="D10" s="41"/>
      <c r="E10" s="42"/>
      <c r="F10" s="43"/>
      <c r="G10" s="55"/>
      <c r="H10" s="56"/>
      <c r="I10" s="120"/>
      <c r="J10" s="44"/>
      <c r="K10" s="44"/>
      <c r="L10" s="44"/>
      <c r="M10" s="44"/>
      <c r="N10" s="45"/>
      <c r="O10" s="40"/>
      <c r="P10" s="45"/>
      <c r="Q10" s="44"/>
    </row>
    <row r="11" spans="1:17">
      <c r="A11" s="40"/>
      <c r="B11" s="41"/>
      <c r="C11" s="41"/>
      <c r="D11" s="41"/>
      <c r="E11" s="42"/>
      <c r="F11" s="43"/>
      <c r="G11" s="55"/>
      <c r="H11" s="56"/>
      <c r="I11" s="120"/>
      <c r="J11" s="44"/>
      <c r="K11" s="44"/>
      <c r="L11" s="44"/>
      <c r="M11" s="44"/>
      <c r="N11" s="45"/>
      <c r="O11" s="40"/>
      <c r="P11" s="45"/>
      <c r="Q11" s="44"/>
    </row>
    <row r="12" spans="1:17">
      <c r="A12" s="40"/>
      <c r="B12" s="41"/>
      <c r="C12" s="41"/>
      <c r="D12" s="41"/>
      <c r="E12" s="42"/>
      <c r="F12" s="43"/>
      <c r="G12" s="55"/>
      <c r="H12" s="56"/>
      <c r="I12" s="120"/>
      <c r="J12" s="44"/>
      <c r="K12" s="44"/>
      <c r="L12" s="44"/>
      <c r="M12" s="44"/>
      <c r="N12" s="45"/>
      <c r="O12" s="40"/>
      <c r="P12" s="45"/>
      <c r="Q12" s="44"/>
    </row>
    <row r="13" spans="1:17">
      <c r="A13" s="46"/>
      <c r="B13" s="47"/>
      <c r="C13" s="47"/>
      <c r="D13" s="47"/>
      <c r="E13" s="48"/>
      <c r="F13" s="49"/>
      <c r="G13" s="57"/>
      <c r="H13" s="58"/>
      <c r="I13" s="120"/>
      <c r="J13" s="50"/>
      <c r="K13" s="50"/>
      <c r="L13" s="50"/>
      <c r="M13" s="50"/>
      <c r="N13" s="51"/>
      <c r="O13" s="46"/>
      <c r="P13" s="51"/>
      <c r="Q13" s="50"/>
    </row>
    <row r="14" spans="1:17">
      <c r="A14" s="46"/>
      <c r="B14" s="47"/>
      <c r="C14" s="47"/>
      <c r="D14" s="47"/>
      <c r="E14" s="48"/>
      <c r="F14" s="49"/>
      <c r="G14" s="57"/>
      <c r="H14" s="58"/>
      <c r="I14" s="120"/>
      <c r="J14" s="50"/>
      <c r="K14" s="50"/>
      <c r="L14" s="50"/>
      <c r="M14" s="50"/>
      <c r="N14" s="51"/>
      <c r="O14" s="46"/>
      <c r="P14" s="51"/>
      <c r="Q14" s="50"/>
    </row>
    <row r="15" spans="1:17">
      <c r="A15" s="46"/>
      <c r="B15" s="47"/>
      <c r="C15" s="47"/>
      <c r="D15" s="47"/>
      <c r="E15" s="48"/>
      <c r="F15" s="49"/>
      <c r="G15" s="57"/>
      <c r="H15" s="58"/>
      <c r="I15" s="120"/>
      <c r="J15" s="50"/>
      <c r="K15" s="50"/>
      <c r="L15" s="50"/>
      <c r="M15" s="50"/>
      <c r="N15" s="51"/>
      <c r="O15" s="46"/>
      <c r="P15" s="51"/>
      <c r="Q15" s="50"/>
    </row>
    <row r="16" spans="1:17">
      <c r="A16" s="46"/>
      <c r="B16" s="47"/>
      <c r="C16" s="47"/>
      <c r="D16" s="47"/>
      <c r="E16" s="48"/>
      <c r="F16" s="49"/>
      <c r="G16" s="57"/>
      <c r="H16" s="58"/>
      <c r="I16" s="120"/>
      <c r="J16" s="50"/>
      <c r="K16" s="50"/>
      <c r="L16" s="50"/>
      <c r="M16" s="50"/>
      <c r="N16" s="51"/>
      <c r="O16" s="46"/>
      <c r="P16" s="51"/>
      <c r="Q16" s="50"/>
    </row>
    <row r="17" spans="1:17">
      <c r="A17" s="46"/>
      <c r="B17" s="47"/>
      <c r="C17" s="47"/>
      <c r="D17" s="47"/>
      <c r="E17" s="48"/>
      <c r="F17" s="49"/>
      <c r="G17" s="57"/>
      <c r="H17" s="58"/>
      <c r="I17" s="120"/>
      <c r="J17" s="50"/>
      <c r="K17" s="50"/>
      <c r="L17" s="50"/>
      <c r="M17" s="50"/>
      <c r="N17" s="51"/>
      <c r="O17" s="46"/>
      <c r="P17" s="51"/>
      <c r="Q17" s="50"/>
    </row>
    <row r="18" spans="1:17">
      <c r="A18" s="46"/>
      <c r="B18" s="47"/>
      <c r="C18" s="47"/>
      <c r="D18" s="47"/>
      <c r="E18" s="48"/>
      <c r="F18" s="49"/>
      <c r="G18" s="57"/>
      <c r="H18" s="58"/>
      <c r="I18" s="120"/>
      <c r="J18" s="50"/>
      <c r="K18" s="50"/>
      <c r="L18" s="50"/>
      <c r="M18" s="50"/>
      <c r="N18" s="51"/>
      <c r="O18" s="46"/>
      <c r="P18" s="51"/>
      <c r="Q18" s="50"/>
    </row>
    <row r="19" spans="1:17">
      <c r="A19" s="46"/>
      <c r="B19" s="47"/>
      <c r="C19" s="47"/>
      <c r="D19" s="47"/>
      <c r="E19" s="48"/>
      <c r="F19" s="49"/>
      <c r="G19" s="57"/>
      <c r="H19" s="58"/>
      <c r="I19" s="120"/>
      <c r="J19" s="50"/>
      <c r="K19" s="50"/>
      <c r="L19" s="50"/>
      <c r="M19" s="50"/>
      <c r="N19" s="51"/>
      <c r="O19" s="46"/>
      <c r="P19" s="51"/>
      <c r="Q19" s="50"/>
    </row>
    <row r="20" spans="1:17" ht="25.05" customHeight="1">
      <c r="A20" s="46"/>
      <c r="B20" s="47"/>
      <c r="C20" s="47"/>
      <c r="D20" s="47"/>
      <c r="E20" s="48"/>
      <c r="F20" s="49"/>
      <c r="G20" s="57"/>
      <c r="H20" s="58"/>
      <c r="I20" s="120"/>
      <c r="J20" s="50"/>
      <c r="K20" s="50"/>
      <c r="L20" s="50"/>
      <c r="M20" s="50"/>
      <c r="N20" s="51"/>
      <c r="O20" s="46"/>
      <c r="P20" s="51"/>
      <c r="Q20" s="50"/>
    </row>
    <row r="21" spans="1:17">
      <c r="A21" s="46"/>
      <c r="B21" s="47"/>
      <c r="C21" s="47"/>
      <c r="D21" s="47"/>
      <c r="E21" s="48"/>
      <c r="F21" s="49"/>
      <c r="G21" s="57"/>
      <c r="H21" s="58"/>
      <c r="I21" s="120"/>
      <c r="J21" s="50"/>
      <c r="K21" s="50"/>
      <c r="L21" s="50"/>
      <c r="M21" s="50"/>
      <c r="N21" s="51"/>
      <c r="O21" s="46"/>
      <c r="P21" s="51"/>
      <c r="Q21" s="50"/>
    </row>
    <row r="22" spans="1:17">
      <c r="A22" s="46"/>
      <c r="B22" s="47"/>
      <c r="C22" s="47"/>
      <c r="D22" s="47"/>
      <c r="E22" s="48"/>
      <c r="F22" s="49"/>
      <c r="G22" s="57"/>
      <c r="H22" s="58"/>
      <c r="I22" s="120"/>
      <c r="J22" s="50"/>
      <c r="K22" s="50"/>
      <c r="L22" s="50"/>
      <c r="M22" s="50"/>
      <c r="N22" s="51"/>
      <c r="O22" s="46"/>
      <c r="P22" s="51"/>
      <c r="Q22" s="50"/>
    </row>
    <row r="23" spans="1:17" ht="25.05" customHeight="1">
      <c r="A23" s="46"/>
      <c r="B23" s="47"/>
      <c r="C23" s="47"/>
      <c r="D23" s="47"/>
      <c r="E23" s="48"/>
      <c r="F23" s="49"/>
      <c r="G23" s="57"/>
      <c r="H23" s="58"/>
      <c r="I23" s="120"/>
      <c r="J23" s="50"/>
      <c r="K23" s="50"/>
      <c r="L23" s="50"/>
      <c r="M23" s="50"/>
      <c r="N23" s="51"/>
      <c r="O23" s="46"/>
      <c r="P23" s="51"/>
      <c r="Q23" s="50"/>
    </row>
    <row r="24" spans="1:17">
      <c r="A24" s="46"/>
      <c r="B24" s="47"/>
      <c r="C24" s="47"/>
      <c r="D24" s="47"/>
      <c r="E24" s="48"/>
      <c r="F24" s="49"/>
      <c r="G24" s="57"/>
      <c r="H24" s="58"/>
      <c r="I24" s="120"/>
      <c r="J24" s="50"/>
      <c r="K24" s="50"/>
      <c r="L24" s="50"/>
      <c r="M24" s="50"/>
      <c r="N24" s="51"/>
      <c r="O24" s="46"/>
      <c r="P24" s="51"/>
      <c r="Q24" s="50"/>
    </row>
    <row r="25" spans="1:17">
      <c r="A25" s="46"/>
      <c r="B25" s="47"/>
      <c r="C25" s="47"/>
      <c r="D25" s="47"/>
      <c r="E25" s="48"/>
      <c r="F25" s="49"/>
      <c r="G25" s="57"/>
      <c r="H25" s="58"/>
      <c r="I25" s="120"/>
      <c r="J25" s="50"/>
      <c r="K25" s="50"/>
      <c r="L25" s="50"/>
      <c r="M25" s="50"/>
      <c r="N25" s="51"/>
      <c r="O25" s="46"/>
      <c r="P25" s="51"/>
      <c r="Q25" s="50"/>
    </row>
    <row r="26" spans="1:17">
      <c r="A26" s="46"/>
      <c r="B26" s="47"/>
      <c r="C26" s="47"/>
      <c r="D26" s="47"/>
      <c r="E26" s="48"/>
      <c r="F26" s="49"/>
      <c r="G26" s="57"/>
      <c r="H26" s="58"/>
      <c r="I26" s="120"/>
      <c r="J26" s="50"/>
      <c r="K26" s="50"/>
      <c r="L26" s="50"/>
      <c r="M26" s="50"/>
      <c r="N26" s="51"/>
      <c r="O26" s="46"/>
      <c r="P26" s="51"/>
      <c r="Q26" s="50"/>
    </row>
    <row r="27" spans="1:17" ht="25.05" customHeight="1">
      <c r="A27" s="46"/>
      <c r="B27" s="47"/>
      <c r="C27" s="47"/>
      <c r="D27" s="47"/>
      <c r="E27" s="48"/>
      <c r="F27" s="49"/>
      <c r="G27" s="57"/>
      <c r="H27" s="58"/>
      <c r="I27" s="120"/>
      <c r="J27" s="50"/>
      <c r="K27" s="50"/>
      <c r="L27" s="50"/>
      <c r="M27" s="50"/>
      <c r="N27" s="51"/>
      <c r="O27" s="46"/>
      <c r="P27" s="51"/>
      <c r="Q27" s="50"/>
    </row>
    <row r="28" spans="1:17" ht="25.05" customHeight="1">
      <c r="A28" s="46"/>
      <c r="B28" s="47"/>
      <c r="C28" s="47"/>
      <c r="D28" s="47"/>
      <c r="E28" s="48"/>
      <c r="F28" s="49"/>
      <c r="G28" s="57"/>
      <c r="H28" s="58"/>
      <c r="I28" s="120"/>
      <c r="J28" s="50"/>
      <c r="K28" s="50"/>
      <c r="L28" s="50"/>
      <c r="M28" s="50"/>
      <c r="N28" s="51"/>
      <c r="O28" s="46"/>
      <c r="P28" s="51"/>
      <c r="Q28" s="50"/>
    </row>
    <row r="29" spans="1:17" ht="25.05" customHeight="1">
      <c r="A29" s="46"/>
      <c r="B29" s="47"/>
      <c r="C29" s="47"/>
      <c r="D29" s="47"/>
      <c r="E29" s="48"/>
      <c r="F29" s="49"/>
      <c r="G29" s="57"/>
      <c r="H29" s="58"/>
      <c r="I29" s="120"/>
      <c r="J29" s="50"/>
      <c r="K29" s="50"/>
      <c r="L29" s="50"/>
      <c r="M29" s="50"/>
      <c r="N29" s="51"/>
      <c r="O29" s="46"/>
      <c r="P29" s="51"/>
      <c r="Q29" s="50"/>
    </row>
    <row r="30" spans="1:17" ht="25.05" customHeight="1">
      <c r="A30" s="46"/>
      <c r="B30" s="47"/>
      <c r="C30" s="47"/>
      <c r="D30" s="47"/>
      <c r="E30" s="48"/>
      <c r="F30" s="49"/>
      <c r="G30" s="57"/>
      <c r="H30" s="58"/>
      <c r="I30" s="120"/>
      <c r="J30" s="50"/>
      <c r="K30" s="50"/>
      <c r="L30" s="50"/>
      <c r="M30" s="50"/>
      <c r="N30" s="51"/>
      <c r="O30" s="46"/>
      <c r="P30" s="51"/>
      <c r="Q30" s="50"/>
    </row>
    <row r="31" spans="1:17" ht="25.05" customHeight="1">
      <c r="A31" s="46"/>
      <c r="B31" s="47"/>
      <c r="C31" s="47"/>
      <c r="D31" s="47"/>
      <c r="E31" s="48"/>
      <c r="F31" s="49"/>
      <c r="G31" s="57"/>
      <c r="H31" s="58"/>
      <c r="I31" s="120"/>
      <c r="J31" s="50"/>
      <c r="K31" s="50"/>
      <c r="L31" s="50"/>
      <c r="M31" s="50"/>
      <c r="N31" s="51"/>
      <c r="O31" s="46"/>
      <c r="P31" s="51"/>
      <c r="Q31" s="50"/>
    </row>
    <row r="32" spans="1:17" ht="25.05" customHeight="1">
      <c r="A32" s="4"/>
      <c r="B32" s="5"/>
      <c r="C32" s="5"/>
      <c r="D32" s="5"/>
      <c r="E32" s="6"/>
      <c r="F32" s="7"/>
      <c r="G32" s="59"/>
      <c r="H32" s="60"/>
      <c r="I32" s="121"/>
      <c r="J32" s="8"/>
      <c r="K32" s="8"/>
      <c r="L32" s="8"/>
      <c r="M32" s="8"/>
      <c r="N32" s="9"/>
      <c r="O32" s="4"/>
      <c r="P32" s="9"/>
      <c r="Q32" s="8"/>
    </row>
    <row r="33" spans="1:17">
      <c r="A33" s="4"/>
      <c r="B33" s="5"/>
      <c r="C33" s="5"/>
      <c r="D33" s="5"/>
      <c r="E33" s="6"/>
      <c r="F33" s="7"/>
      <c r="G33" s="59"/>
      <c r="H33" s="60"/>
      <c r="I33" s="121"/>
      <c r="J33" s="8"/>
      <c r="K33" s="8"/>
      <c r="L33" s="8"/>
      <c r="M33" s="8"/>
      <c r="N33" s="9"/>
      <c r="O33" s="4"/>
      <c r="P33" s="9"/>
      <c r="Q33" s="8"/>
    </row>
    <row r="34" spans="1:17">
      <c r="A34" s="4"/>
      <c r="B34" s="5"/>
      <c r="C34" s="5"/>
      <c r="D34" s="5"/>
      <c r="E34" s="6"/>
      <c r="F34" s="7"/>
      <c r="G34" s="59"/>
      <c r="H34" s="60"/>
      <c r="I34" s="121"/>
      <c r="J34" s="8"/>
      <c r="K34" s="8"/>
      <c r="L34" s="8"/>
      <c r="M34" s="8"/>
      <c r="N34" s="9"/>
      <c r="O34" s="4"/>
      <c r="P34" s="9"/>
      <c r="Q34" s="8"/>
    </row>
    <row r="35" spans="1:17" ht="25.05" customHeight="1">
      <c r="A35" s="4"/>
      <c r="B35" s="5"/>
      <c r="C35" s="5"/>
      <c r="D35" s="5"/>
      <c r="E35" s="6"/>
      <c r="F35" s="7"/>
      <c r="G35" s="59"/>
      <c r="H35" s="60"/>
      <c r="I35" s="121"/>
      <c r="J35" s="8"/>
      <c r="K35" s="8"/>
      <c r="L35" s="8"/>
      <c r="M35" s="8"/>
      <c r="N35" s="9"/>
      <c r="O35" s="4"/>
      <c r="P35" s="9"/>
      <c r="Q35" s="8"/>
    </row>
    <row r="36" spans="1:17">
      <c r="A36" s="4"/>
      <c r="B36" s="5"/>
      <c r="C36" s="5"/>
      <c r="D36" s="5"/>
      <c r="E36" s="6"/>
      <c r="F36" s="7"/>
      <c r="G36" s="59"/>
      <c r="H36" s="60"/>
      <c r="I36" s="121"/>
      <c r="J36" s="8"/>
      <c r="K36" s="8"/>
      <c r="L36" s="8"/>
      <c r="M36" s="8"/>
      <c r="N36" s="9"/>
      <c r="O36" s="4"/>
      <c r="P36" s="9"/>
      <c r="Q36" s="8"/>
    </row>
    <row r="37" spans="1:17">
      <c r="A37" s="4"/>
      <c r="B37" s="5"/>
      <c r="C37" s="5"/>
      <c r="D37" s="5"/>
      <c r="E37" s="6"/>
      <c r="F37" s="7"/>
      <c r="G37" s="59"/>
      <c r="H37" s="60"/>
      <c r="I37" s="121"/>
      <c r="J37" s="8"/>
      <c r="K37" s="8"/>
      <c r="L37" s="8"/>
      <c r="M37" s="8"/>
      <c r="N37" s="9"/>
      <c r="O37" s="4"/>
      <c r="P37" s="9"/>
      <c r="Q37" s="8"/>
    </row>
    <row r="38" spans="1:17">
      <c r="A38" s="4"/>
      <c r="B38" s="5"/>
      <c r="C38" s="5"/>
      <c r="D38" s="5"/>
      <c r="E38" s="6"/>
      <c r="F38" s="7"/>
      <c r="G38" s="59"/>
      <c r="H38" s="60"/>
      <c r="I38" s="121"/>
      <c r="J38" s="8"/>
      <c r="K38" s="8"/>
      <c r="L38" s="8"/>
      <c r="M38" s="8"/>
      <c r="N38" s="9"/>
      <c r="O38" s="4"/>
      <c r="P38" s="9"/>
      <c r="Q38" s="8"/>
    </row>
    <row r="39" spans="1:17">
      <c r="A39" s="4"/>
      <c r="B39" s="5"/>
      <c r="C39" s="5"/>
      <c r="D39" s="5"/>
      <c r="E39" s="6"/>
      <c r="F39" s="7"/>
      <c r="G39" s="59"/>
      <c r="H39" s="60"/>
      <c r="I39" s="121"/>
      <c r="J39" s="8"/>
      <c r="K39" s="8"/>
      <c r="L39" s="8"/>
      <c r="M39" s="8"/>
      <c r="N39" s="9"/>
      <c r="O39" s="4"/>
      <c r="P39" s="9"/>
      <c r="Q39" s="8"/>
    </row>
    <row r="40" spans="1:17">
      <c r="A40" s="4"/>
      <c r="B40" s="5"/>
      <c r="C40" s="5"/>
      <c r="D40" s="5"/>
      <c r="E40" s="6"/>
      <c r="F40" s="7"/>
      <c r="G40" s="59"/>
      <c r="H40" s="60"/>
      <c r="I40" s="121"/>
      <c r="J40" s="8"/>
      <c r="K40" s="8"/>
      <c r="L40" s="8"/>
      <c r="M40" s="8"/>
      <c r="N40" s="9"/>
      <c r="O40" s="4"/>
      <c r="P40" s="9"/>
      <c r="Q40" s="8"/>
    </row>
    <row r="41" spans="1:17">
      <c r="A41" s="4"/>
      <c r="B41" s="5"/>
      <c r="C41" s="5"/>
      <c r="D41" s="5"/>
      <c r="E41" s="6"/>
      <c r="F41" s="7"/>
      <c r="G41" s="59"/>
      <c r="H41" s="60"/>
      <c r="I41" s="121"/>
      <c r="J41" s="8"/>
      <c r="K41" s="8"/>
      <c r="L41" s="8"/>
      <c r="M41" s="8"/>
      <c r="N41" s="9"/>
      <c r="O41" s="4"/>
      <c r="P41" s="9"/>
      <c r="Q41" s="8"/>
    </row>
    <row r="42" spans="1:17">
      <c r="A42" s="4"/>
      <c r="B42" s="5"/>
      <c r="C42" s="5"/>
      <c r="D42" s="5"/>
      <c r="E42" s="6"/>
      <c r="F42" s="7"/>
      <c r="G42" s="59"/>
      <c r="H42" s="60"/>
      <c r="I42" s="121"/>
      <c r="J42" s="8"/>
      <c r="K42" s="8"/>
      <c r="L42" s="8"/>
      <c r="M42" s="8"/>
      <c r="N42" s="9"/>
      <c r="O42" s="4"/>
      <c r="P42" s="9"/>
      <c r="Q42" s="8"/>
    </row>
    <row r="43" spans="1:17">
      <c r="A43" s="4"/>
      <c r="B43" s="5"/>
      <c r="C43" s="5"/>
      <c r="D43" s="5"/>
      <c r="E43" s="6"/>
      <c r="F43" s="7"/>
      <c r="G43" s="59"/>
      <c r="H43" s="60"/>
      <c r="I43" s="121"/>
      <c r="J43" s="8"/>
      <c r="K43" s="8"/>
      <c r="L43" s="8"/>
      <c r="M43" s="8"/>
      <c r="N43" s="9"/>
      <c r="O43" s="4"/>
      <c r="P43" s="9"/>
      <c r="Q43" s="8"/>
    </row>
    <row r="44" spans="1:17">
      <c r="A44" s="4"/>
      <c r="B44" s="5"/>
      <c r="C44" s="5"/>
      <c r="D44" s="5"/>
      <c r="E44" s="6"/>
      <c r="F44" s="7"/>
      <c r="G44" s="59"/>
      <c r="H44" s="60"/>
      <c r="I44" s="121"/>
      <c r="J44" s="8"/>
      <c r="K44" s="8"/>
      <c r="L44" s="8"/>
      <c r="M44" s="8"/>
      <c r="N44" s="9"/>
      <c r="O44" s="4"/>
      <c r="P44" s="9"/>
      <c r="Q44" s="8"/>
    </row>
    <row r="45" spans="1:17">
      <c r="A45" s="4"/>
      <c r="B45" s="5"/>
      <c r="C45" s="5"/>
      <c r="D45" s="5"/>
      <c r="E45" s="6"/>
      <c r="F45" s="7"/>
      <c r="G45" s="59"/>
      <c r="H45" s="60"/>
      <c r="I45" s="121"/>
      <c r="J45" s="8"/>
      <c r="K45" s="8"/>
      <c r="L45" s="8"/>
      <c r="M45" s="8"/>
      <c r="N45" s="9"/>
      <c r="O45" s="4"/>
      <c r="P45" s="9"/>
      <c r="Q45" s="8"/>
    </row>
    <row r="46" spans="1:17">
      <c r="A46" s="4"/>
      <c r="B46" s="5"/>
      <c r="C46" s="5"/>
      <c r="D46" s="5"/>
      <c r="E46" s="6"/>
      <c r="F46" s="7"/>
      <c r="G46" s="59"/>
      <c r="H46" s="60"/>
      <c r="I46" s="121"/>
      <c r="J46" s="8"/>
      <c r="K46" s="8"/>
      <c r="L46" s="8"/>
      <c r="M46" s="8"/>
      <c r="N46" s="9"/>
      <c r="O46" s="4"/>
      <c r="P46" s="9"/>
      <c r="Q46" s="8"/>
    </row>
    <row r="47" spans="1:17">
      <c r="A47" s="4"/>
      <c r="B47" s="5"/>
      <c r="C47" s="5"/>
      <c r="D47" s="5"/>
      <c r="E47" s="6"/>
      <c r="F47" s="7"/>
      <c r="G47" s="59"/>
      <c r="H47" s="60"/>
      <c r="I47" s="121"/>
      <c r="J47" s="8"/>
      <c r="K47" s="8"/>
      <c r="L47" s="8"/>
      <c r="M47" s="8"/>
      <c r="N47" s="9"/>
      <c r="O47" s="4"/>
      <c r="P47" s="9"/>
      <c r="Q47" s="8"/>
    </row>
    <row r="48" spans="1:17">
      <c r="A48" s="4"/>
      <c r="B48" s="5"/>
      <c r="C48" s="5"/>
      <c r="D48" s="5"/>
      <c r="E48" s="6"/>
      <c r="F48" s="7"/>
      <c r="G48" s="59"/>
      <c r="H48" s="60"/>
      <c r="I48" s="121"/>
      <c r="J48" s="8"/>
      <c r="K48" s="8"/>
      <c r="L48" s="8"/>
      <c r="M48" s="8"/>
      <c r="N48" s="9"/>
      <c r="O48" s="4"/>
      <c r="P48" s="9"/>
      <c r="Q48" s="8"/>
    </row>
    <row r="49" spans="1:17">
      <c r="A49" s="4"/>
      <c r="B49" s="5"/>
      <c r="C49" s="5"/>
      <c r="D49" s="5"/>
      <c r="E49" s="6"/>
      <c r="F49" s="7"/>
      <c r="G49" s="59"/>
      <c r="H49" s="60"/>
      <c r="I49" s="121"/>
      <c r="J49" s="8"/>
      <c r="K49" s="8"/>
      <c r="L49" s="8"/>
      <c r="M49" s="8"/>
      <c r="N49" s="9"/>
      <c r="O49" s="4"/>
      <c r="P49" s="9"/>
      <c r="Q49" s="8"/>
    </row>
    <row r="50" spans="1:17">
      <c r="A50" s="4"/>
      <c r="B50" s="5"/>
      <c r="C50" s="5"/>
      <c r="D50" s="5"/>
      <c r="E50" s="6"/>
      <c r="F50" s="7"/>
      <c r="G50" s="59"/>
      <c r="H50" s="60"/>
      <c r="I50" s="121"/>
      <c r="J50" s="8"/>
      <c r="K50" s="8"/>
      <c r="L50" s="8"/>
      <c r="M50" s="8"/>
      <c r="N50" s="9"/>
      <c r="O50" s="4"/>
      <c r="P50" s="9"/>
      <c r="Q50" s="8"/>
    </row>
    <row r="51" spans="1:17">
      <c r="A51" s="4"/>
      <c r="B51" s="5"/>
      <c r="C51" s="5"/>
      <c r="D51" s="5"/>
      <c r="E51" s="6"/>
      <c r="F51" s="7"/>
      <c r="G51" s="59"/>
      <c r="H51" s="60"/>
      <c r="I51" s="121"/>
      <c r="J51" s="8"/>
      <c r="K51" s="8"/>
      <c r="L51" s="8"/>
      <c r="M51" s="8"/>
      <c r="N51" s="9"/>
      <c r="O51" s="4"/>
      <c r="P51" s="9"/>
      <c r="Q51" s="8"/>
    </row>
    <row r="52" spans="1:17">
      <c r="A52" s="4"/>
      <c r="B52" s="5"/>
      <c r="C52" s="5"/>
      <c r="D52" s="5"/>
      <c r="E52" s="6"/>
      <c r="F52" s="7"/>
      <c r="G52" s="59"/>
      <c r="H52" s="60"/>
      <c r="I52" s="121"/>
      <c r="J52" s="8"/>
      <c r="K52" s="8"/>
      <c r="L52" s="8"/>
      <c r="M52" s="8"/>
      <c r="N52" s="9"/>
      <c r="O52" s="4"/>
      <c r="P52" s="9"/>
      <c r="Q52" s="8"/>
    </row>
    <row r="53" spans="1:17" ht="25.05" customHeight="1">
      <c r="A53" s="4"/>
      <c r="B53" s="5"/>
      <c r="C53" s="5"/>
      <c r="D53" s="5"/>
      <c r="E53" s="6"/>
      <c r="F53" s="7"/>
      <c r="G53" s="59"/>
      <c r="H53" s="60"/>
      <c r="I53" s="121"/>
      <c r="J53" s="8"/>
      <c r="K53" s="8"/>
      <c r="L53" s="8"/>
      <c r="M53" s="8"/>
      <c r="N53" s="9"/>
      <c r="O53" s="4"/>
      <c r="P53" s="9"/>
      <c r="Q53" s="8"/>
    </row>
    <row r="54" spans="1:17">
      <c r="A54" s="4"/>
      <c r="B54" s="5"/>
      <c r="C54" s="5"/>
      <c r="D54" s="5"/>
      <c r="E54" s="6"/>
      <c r="F54" s="7"/>
      <c r="G54" s="59"/>
      <c r="H54" s="60"/>
      <c r="I54" s="121"/>
      <c r="J54" s="8"/>
      <c r="K54" s="8"/>
      <c r="L54" s="8"/>
      <c r="M54" s="8"/>
      <c r="N54" s="9"/>
      <c r="O54" s="4"/>
      <c r="P54" s="9"/>
      <c r="Q54" s="8"/>
    </row>
  </sheetData>
  <autoFilter ref="A1:Q6" xr:uid="{00000000-0001-0000-0100-000000000000}"/>
  <phoneticPr fontId="2"/>
  <dataValidations count="2">
    <dataValidation type="decimal" operator="greaterThanOrEqual" allowBlank="1" showInputMessage="1" showErrorMessage="1" errorTitle="調整時間を確認してください" error="0以上の数値を入力してください。空白は取得時間を採用します。" sqref="G7:G54" xr:uid="{A2DD2245-748D-42B5-B1AA-CC57243922D0}">
      <formula1>0</formula1>
    </dataValidation>
    <dataValidation type="decimal" operator="greaterThanOrEqual" allowBlank="1" showInputMessage="1" showErrorMessage="1" errorTitle="調整時間を確認してください" error="0以上の数値を入力してください。空白は取得時間を採用します。" sqref="G2:G6" xr:uid="{72CE5C5B-9DD6-455C-9960-F1FD8C8BDDF4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50CB2-B022-499B-986E-53F70A4C5EBD}">
  <sheetPr codeName="Sheet3">
    <tabColor rgb="FF263E62"/>
    <pageSetUpPr fitToPage="1"/>
  </sheetPr>
  <dimension ref="A1:H41"/>
  <sheetViews>
    <sheetView showGridLines="0" topLeftCell="A3" zoomScale="70" zoomScaleNormal="70" workbookViewId="0">
      <selection activeCell="F26" activeCellId="4" sqref="F6:G6 E8:G11 D21:G23 B26:D28 F26:F28"/>
    </sheetView>
  </sheetViews>
  <sheetFormatPr defaultRowHeight="14.4"/>
  <cols>
    <col min="1" max="1" width="4" style="11" customWidth="1"/>
    <col min="2" max="4" width="14" style="11" customWidth="1"/>
    <col min="5" max="7" width="12" style="11" customWidth="1"/>
    <col min="8" max="8" width="4" style="11" customWidth="1"/>
    <col min="9" max="16384" width="8.796875" style="11"/>
  </cols>
  <sheetData>
    <row r="1" spans="1:8" ht="22.05" customHeight="1">
      <c r="A1" s="10"/>
      <c r="B1" s="10"/>
      <c r="C1" s="10"/>
      <c r="D1" s="10"/>
      <c r="E1" s="10"/>
      <c r="F1" s="10"/>
      <c r="G1" s="10"/>
      <c r="H1" s="10"/>
    </row>
    <row r="2" spans="1:8" ht="22.05" customHeight="1">
      <c r="A2" s="10"/>
      <c r="B2" s="75" t="s">
        <v>50</v>
      </c>
      <c r="C2" s="75"/>
      <c r="D2" s="75"/>
      <c r="E2" s="75"/>
      <c r="F2" s="75"/>
      <c r="G2" s="75"/>
      <c r="H2" s="10"/>
    </row>
    <row r="3" spans="1:8" ht="22.05" customHeight="1">
      <c r="A3" s="10"/>
      <c r="B3" s="75"/>
      <c r="C3" s="75"/>
      <c r="D3" s="75"/>
      <c r="E3" s="75"/>
      <c r="F3" s="75"/>
      <c r="G3" s="75"/>
      <c r="H3" s="10"/>
    </row>
    <row r="4" spans="1:8" ht="22.05" customHeight="1">
      <c r="A4" s="10"/>
      <c r="B4" s="10"/>
      <c r="C4" s="10"/>
      <c r="D4" s="10"/>
      <c r="E4" s="10"/>
      <c r="F4" s="10"/>
      <c r="G4" s="10"/>
      <c r="H4" s="10"/>
    </row>
    <row r="5" spans="1:8" ht="22.05" customHeight="1">
      <c r="A5" s="10"/>
      <c r="B5" s="87" t="s">
        <v>51</v>
      </c>
      <c r="C5" s="88"/>
      <c r="D5" s="88"/>
      <c r="E5" s="12" t="s">
        <v>24</v>
      </c>
      <c r="F5" s="76">
        <v>46327</v>
      </c>
      <c r="G5" s="76"/>
      <c r="H5" s="10"/>
    </row>
    <row r="6" spans="1:8" ht="22.05" customHeight="1">
      <c r="A6" s="10"/>
      <c r="B6" s="89" t="s">
        <v>91</v>
      </c>
      <c r="C6" s="90"/>
      <c r="D6" s="90"/>
      <c r="E6" s="12" t="s">
        <v>25</v>
      </c>
      <c r="F6" s="93" t="s">
        <v>52</v>
      </c>
      <c r="G6" s="93"/>
      <c r="H6" s="10"/>
    </row>
    <row r="7" spans="1:8" ht="22.05" customHeight="1">
      <c r="A7" s="10"/>
      <c r="B7" s="91" t="s">
        <v>92</v>
      </c>
      <c r="C7" s="92"/>
      <c r="D7" s="92"/>
      <c r="E7" s="36"/>
      <c r="F7" s="36"/>
      <c r="G7" s="36"/>
      <c r="H7" s="10"/>
    </row>
    <row r="8" spans="1:8" ht="22.05" customHeight="1">
      <c r="A8" s="10"/>
      <c r="B8" s="10"/>
      <c r="C8" s="10"/>
      <c r="D8" s="10"/>
      <c r="E8" s="94" t="s">
        <v>53</v>
      </c>
      <c r="F8" s="94"/>
      <c r="G8" s="94"/>
      <c r="H8" s="10"/>
    </row>
    <row r="9" spans="1:8" ht="22.05" customHeight="1">
      <c r="A9" s="10"/>
      <c r="B9" s="10"/>
      <c r="C9" s="10"/>
      <c r="D9" s="10"/>
      <c r="E9" s="95" t="s">
        <v>54</v>
      </c>
      <c r="F9" s="95"/>
      <c r="G9" s="96"/>
      <c r="H9" s="10"/>
    </row>
    <row r="10" spans="1:8" ht="22.05" customHeight="1">
      <c r="A10" s="10"/>
      <c r="B10" s="10"/>
      <c r="C10" s="10"/>
      <c r="D10" s="10"/>
      <c r="E10" s="95" t="s">
        <v>55</v>
      </c>
      <c r="F10" s="95"/>
      <c r="G10" s="95"/>
      <c r="H10" s="10"/>
    </row>
    <row r="11" spans="1:8" ht="22.05" customHeight="1">
      <c r="A11" s="10"/>
      <c r="B11" s="10"/>
      <c r="C11" s="10"/>
      <c r="D11" s="10"/>
      <c r="E11" s="97" t="s">
        <v>56</v>
      </c>
      <c r="F11" s="98"/>
      <c r="G11" s="98"/>
      <c r="H11" s="10"/>
    </row>
    <row r="12" spans="1:8" ht="22.05" customHeight="1">
      <c r="A12" s="10"/>
      <c r="B12" s="10"/>
      <c r="C12" s="10"/>
      <c r="D12" s="10"/>
      <c r="E12" s="74"/>
      <c r="F12" s="74"/>
      <c r="G12" s="74"/>
      <c r="H12" s="10"/>
    </row>
    <row r="13" spans="1:8" ht="22.05" customHeight="1">
      <c r="A13" s="10"/>
      <c r="B13" s="10"/>
      <c r="C13" s="10"/>
      <c r="D13" s="10"/>
      <c r="E13" s="10"/>
      <c r="F13" s="10"/>
      <c r="G13" s="10"/>
      <c r="H13" s="10"/>
    </row>
    <row r="14" spans="1:8" ht="25.2" customHeight="1">
      <c r="A14" s="10"/>
      <c r="B14" s="73" t="s">
        <v>26</v>
      </c>
      <c r="C14" s="73"/>
      <c r="D14" s="73" t="s">
        <v>86</v>
      </c>
      <c r="E14" s="73"/>
      <c r="F14" s="73"/>
      <c r="G14" s="73"/>
      <c r="H14" s="10"/>
    </row>
    <row r="15" spans="1:8" ht="22.05" customHeight="1">
      <c r="A15" s="10"/>
      <c r="B15" s="10"/>
      <c r="C15" s="10"/>
      <c r="D15" s="10"/>
      <c r="E15" s="10"/>
      <c r="F15" s="10"/>
      <c r="G15" s="10"/>
      <c r="H15" s="10"/>
    </row>
    <row r="16" spans="1:8" ht="22.05" customHeight="1">
      <c r="A16" s="10"/>
      <c r="B16" s="78" t="s">
        <v>49</v>
      </c>
      <c r="C16" s="78"/>
      <c r="D16" s="78"/>
      <c r="E16" s="78"/>
      <c r="F16" s="78"/>
      <c r="G16" s="78"/>
      <c r="H16" s="10"/>
    </row>
    <row r="17" spans="1:8" ht="22.05" customHeight="1">
      <c r="A17" s="10"/>
      <c r="B17" s="79">
        <f>G33</f>
        <v>16500</v>
      </c>
      <c r="C17" s="79"/>
      <c r="D17" s="79"/>
      <c r="E17" s="79"/>
      <c r="F17" s="79"/>
      <c r="G17" s="79"/>
      <c r="H17" s="10"/>
    </row>
    <row r="18" spans="1:8" ht="22.05" customHeight="1">
      <c r="A18" s="10"/>
      <c r="B18" s="79"/>
      <c r="C18" s="79"/>
      <c r="D18" s="79"/>
      <c r="E18" s="79"/>
      <c r="F18" s="79"/>
      <c r="G18" s="79"/>
      <c r="H18" s="10"/>
    </row>
    <row r="19" spans="1:8" ht="22.05" customHeight="1">
      <c r="A19" s="10"/>
      <c r="B19" s="10"/>
      <c r="C19" s="10"/>
      <c r="D19" s="10"/>
      <c r="E19" s="10"/>
      <c r="F19" s="10"/>
      <c r="G19" s="10"/>
      <c r="H19" s="10"/>
    </row>
    <row r="20" spans="1:8" ht="22.05" customHeight="1">
      <c r="A20" s="10"/>
      <c r="B20" s="81" t="s">
        <v>29</v>
      </c>
      <c r="C20" s="81"/>
      <c r="D20" s="81" t="s">
        <v>30</v>
      </c>
      <c r="E20" s="81"/>
      <c r="F20" s="81"/>
      <c r="G20" s="81"/>
      <c r="H20" s="10"/>
    </row>
    <row r="21" spans="1:8" ht="22.05" customHeight="1">
      <c r="A21" s="10"/>
      <c r="B21" s="76">
        <v>46356</v>
      </c>
      <c r="C21" s="76"/>
      <c r="D21" s="99" t="s">
        <v>66</v>
      </c>
      <c r="E21" s="99"/>
      <c r="F21" s="99"/>
      <c r="G21" s="99"/>
      <c r="H21" s="10"/>
    </row>
    <row r="22" spans="1:8" ht="22.05" customHeight="1">
      <c r="A22" s="10"/>
      <c r="B22" s="76"/>
      <c r="C22" s="76"/>
      <c r="D22" s="99"/>
      <c r="E22" s="99"/>
      <c r="F22" s="99"/>
      <c r="G22" s="99"/>
      <c r="H22" s="10"/>
    </row>
    <row r="23" spans="1:8" ht="22.05" customHeight="1">
      <c r="A23" s="10"/>
      <c r="B23" s="76"/>
      <c r="C23" s="76"/>
      <c r="D23" s="99"/>
      <c r="E23" s="99"/>
      <c r="F23" s="99"/>
      <c r="G23" s="99"/>
      <c r="H23" s="10"/>
    </row>
    <row r="24" spans="1:8" ht="22.05" customHeight="1">
      <c r="A24" s="10"/>
      <c r="B24" s="10"/>
      <c r="C24" s="10"/>
      <c r="D24" s="10"/>
      <c r="E24" s="10"/>
      <c r="F24" s="10"/>
      <c r="G24" s="10"/>
      <c r="H24" s="10"/>
    </row>
    <row r="25" spans="1:8" ht="22.05" customHeight="1">
      <c r="A25" s="10"/>
      <c r="B25" s="82" t="s">
        <v>31</v>
      </c>
      <c r="C25" s="82"/>
      <c r="D25" s="82"/>
      <c r="E25" s="13" t="s">
        <v>32</v>
      </c>
      <c r="F25" s="13" t="s">
        <v>33</v>
      </c>
      <c r="G25" s="13" t="s">
        <v>34</v>
      </c>
      <c r="H25" s="10"/>
    </row>
    <row r="26" spans="1:8" ht="22.05" customHeight="1">
      <c r="A26" s="10"/>
      <c r="B26" s="99" t="s">
        <v>94</v>
      </c>
      <c r="C26" s="99"/>
      <c r="D26" s="99"/>
      <c r="E26" s="83">
        <v>15</v>
      </c>
      <c r="F26" s="100">
        <v>1000</v>
      </c>
      <c r="G26" s="84">
        <f>ROUNDDOWN(E26*F26,0)</f>
        <v>15000</v>
      </c>
      <c r="H26" s="10"/>
    </row>
    <row r="27" spans="1:8" ht="22.05" customHeight="1">
      <c r="A27" s="10"/>
      <c r="B27" s="99"/>
      <c r="C27" s="99"/>
      <c r="D27" s="99"/>
      <c r="E27" s="83"/>
      <c r="F27" s="100"/>
      <c r="G27" s="84"/>
      <c r="H27" s="10"/>
    </row>
    <row r="28" spans="1:8" ht="22.05" customHeight="1">
      <c r="A28" s="10"/>
      <c r="B28" s="99"/>
      <c r="C28" s="99"/>
      <c r="D28" s="99"/>
      <c r="E28" s="83"/>
      <c r="F28" s="100"/>
      <c r="G28" s="84"/>
      <c r="H28" s="10"/>
    </row>
    <row r="29" spans="1:8" ht="22.05" customHeight="1">
      <c r="A29" s="10"/>
      <c r="B29" s="10"/>
      <c r="C29" s="10"/>
      <c r="D29" s="10"/>
      <c r="E29" s="10"/>
      <c r="F29" s="10"/>
      <c r="G29" s="10"/>
      <c r="H29" s="10"/>
    </row>
    <row r="30" spans="1:8" ht="22.05" customHeight="1">
      <c r="A30" s="10"/>
      <c r="B30" s="14"/>
      <c r="C30" s="14"/>
      <c r="D30" s="15"/>
      <c r="E30" s="70" t="s">
        <v>27</v>
      </c>
      <c r="F30" s="71"/>
      <c r="G30" s="16">
        <f>G26</f>
        <v>15000</v>
      </c>
      <c r="H30" s="10"/>
    </row>
    <row r="31" spans="1:8" ht="22.05" customHeight="1">
      <c r="A31" s="10"/>
      <c r="B31" s="14"/>
      <c r="C31" s="14"/>
      <c r="D31" s="15"/>
      <c r="E31" s="70" t="s">
        <v>35</v>
      </c>
      <c r="F31" s="71"/>
      <c r="G31" s="17">
        <v>0.1</v>
      </c>
      <c r="H31" s="10"/>
    </row>
    <row r="32" spans="1:8" ht="22.05" customHeight="1">
      <c r="A32" s="10"/>
      <c r="B32" s="14"/>
      <c r="C32" s="14"/>
      <c r="D32" s="15"/>
      <c r="E32" s="70" t="s">
        <v>36</v>
      </c>
      <c r="F32" s="71"/>
      <c r="G32" s="16">
        <f>ROUNDDOWN(G30*G31,0)</f>
        <v>1500</v>
      </c>
      <c r="H32" s="10"/>
    </row>
    <row r="33" spans="1:8" ht="22.05" customHeight="1">
      <c r="A33" s="10"/>
      <c r="B33" s="14"/>
      <c r="C33" s="14"/>
      <c r="D33" s="15"/>
      <c r="E33" s="72" t="s">
        <v>28</v>
      </c>
      <c r="F33" s="71"/>
      <c r="G33" s="18">
        <f>G30+G32</f>
        <v>16500</v>
      </c>
      <c r="H33" s="10"/>
    </row>
    <row r="34" spans="1:8" ht="22.05" customHeight="1">
      <c r="A34" s="10"/>
      <c r="B34" s="10"/>
      <c r="C34" s="10"/>
      <c r="D34" s="10"/>
      <c r="E34" s="10"/>
      <c r="F34" s="10"/>
      <c r="G34" s="10"/>
      <c r="H34" s="10"/>
    </row>
    <row r="35" spans="1:8" ht="22.05" customHeight="1">
      <c r="A35" s="10"/>
      <c r="B35" s="77" t="s">
        <v>37</v>
      </c>
      <c r="C35" s="77"/>
      <c r="D35" s="77"/>
      <c r="E35" s="77"/>
      <c r="F35" s="77"/>
      <c r="G35" s="77"/>
      <c r="H35" s="10"/>
    </row>
    <row r="36" spans="1:8" ht="22.05" customHeight="1">
      <c r="A36" s="10"/>
      <c r="B36" s="80" t="s">
        <v>89</v>
      </c>
      <c r="C36" s="80"/>
      <c r="D36" s="80"/>
      <c r="E36" s="80"/>
      <c r="F36" s="80"/>
      <c r="G36" s="80"/>
      <c r="H36" s="10"/>
    </row>
    <row r="37" spans="1:8" ht="22.05" customHeight="1">
      <c r="A37" s="10"/>
      <c r="B37" s="80"/>
      <c r="C37" s="80"/>
      <c r="D37" s="80"/>
      <c r="E37" s="80"/>
      <c r="F37" s="80"/>
      <c r="G37" s="80"/>
      <c r="H37" s="10"/>
    </row>
    <row r="38" spans="1:8" ht="22.05" customHeight="1">
      <c r="A38" s="10"/>
      <c r="B38" s="80"/>
      <c r="C38" s="80"/>
      <c r="D38" s="80"/>
      <c r="E38" s="80"/>
      <c r="F38" s="80"/>
      <c r="G38" s="80"/>
      <c r="H38" s="10"/>
    </row>
    <row r="39" spans="1:8" ht="22.05" customHeight="1">
      <c r="A39" s="10"/>
      <c r="B39" s="10"/>
      <c r="C39" s="10"/>
      <c r="D39" s="10"/>
      <c r="E39" s="10"/>
      <c r="F39" s="10"/>
      <c r="G39" s="10"/>
      <c r="H39" s="10"/>
    </row>
    <row r="40" spans="1:8" ht="22.05" customHeight="1">
      <c r="A40" s="10"/>
      <c r="B40" s="10"/>
      <c r="C40" s="10"/>
      <c r="D40" s="10"/>
      <c r="E40" s="10"/>
      <c r="F40" s="10"/>
      <c r="G40" s="10"/>
      <c r="H40" s="10"/>
    </row>
    <row r="41" spans="1:8" ht="22.05" customHeight="1">
      <c r="A41" s="10"/>
      <c r="B41" s="10"/>
      <c r="C41" s="10"/>
      <c r="D41" s="10"/>
      <c r="E41" s="10"/>
      <c r="F41" s="10"/>
      <c r="G41" s="10"/>
      <c r="H41" s="10"/>
    </row>
  </sheetData>
  <mergeCells count="30">
    <mergeCell ref="B35:G35"/>
    <mergeCell ref="B16:G16"/>
    <mergeCell ref="B17:G18"/>
    <mergeCell ref="B36:G38"/>
    <mergeCell ref="B20:C20"/>
    <mergeCell ref="D20:G20"/>
    <mergeCell ref="B21:C23"/>
    <mergeCell ref="D21:G23"/>
    <mergeCell ref="B25:D25"/>
    <mergeCell ref="B26:D28"/>
    <mergeCell ref="E26:E28"/>
    <mergeCell ref="F26:F28"/>
    <mergeCell ref="G26:G28"/>
    <mergeCell ref="B2:G3"/>
    <mergeCell ref="B5:D5"/>
    <mergeCell ref="F5:G5"/>
    <mergeCell ref="B6:D6"/>
    <mergeCell ref="F6:G6"/>
    <mergeCell ref="B7:D7"/>
    <mergeCell ref="E30:F30"/>
    <mergeCell ref="E31:F31"/>
    <mergeCell ref="E32:F32"/>
    <mergeCell ref="E33:F33"/>
    <mergeCell ref="B14:C14"/>
    <mergeCell ref="D14:G14"/>
    <mergeCell ref="E8:G8"/>
    <mergeCell ref="E9:F9"/>
    <mergeCell ref="E10:G10"/>
    <mergeCell ref="E12:G12"/>
    <mergeCell ref="E11:G11"/>
  </mergeCells>
  <phoneticPr fontId="2"/>
  <printOptions horizontalCentered="1"/>
  <pageMargins left="0.39370078740157477" right="0.39370078740157477" top="0.39370078740157477" bottom="0.39370078740157477" header="0.3" footer="0.3"/>
  <pageSetup paperSize="9" scale="96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74AFC-E484-45E6-BFA4-ADDE45AFD71C}">
  <sheetPr codeName="Sheet4">
    <tabColor rgb="FF263E62"/>
    <pageSetUpPr fitToPage="1"/>
  </sheetPr>
  <dimension ref="A1:F26"/>
  <sheetViews>
    <sheetView showGridLines="0" zoomScale="70" zoomScaleNormal="70" workbookViewId="0">
      <pane ySplit="9" topLeftCell="A10" activePane="bottomLeft" state="frozen"/>
      <selection pane="bottomLeft" activeCell="B4" sqref="B4:D4"/>
    </sheetView>
  </sheetViews>
  <sheetFormatPr defaultRowHeight="14.4"/>
  <cols>
    <col min="1" max="1" width="13.5" style="20" customWidth="1"/>
    <col min="2" max="2" width="12.3984375" style="20" customWidth="1"/>
    <col min="3" max="3" width="32" style="20" customWidth="1"/>
    <col min="4" max="4" width="54.09765625" style="20" customWidth="1"/>
    <col min="5" max="5" width="25" style="20" customWidth="1"/>
    <col min="6" max="6" width="13" style="20" customWidth="1"/>
    <col min="7" max="16384" width="8.796875" style="20"/>
  </cols>
  <sheetData>
    <row r="1" spans="1:6" ht="22.05" customHeight="1">
      <c r="A1" s="19"/>
      <c r="B1" s="19"/>
      <c r="C1" s="19"/>
      <c r="D1" s="19"/>
      <c r="E1" s="19"/>
      <c r="F1" s="19"/>
    </row>
    <row r="2" spans="1:6" ht="34.049999999999997" customHeight="1">
      <c r="A2" s="85" t="s">
        <v>38</v>
      </c>
      <c r="B2" s="85"/>
      <c r="C2" s="85"/>
      <c r="D2" s="85"/>
      <c r="E2" s="85"/>
      <c r="F2" s="19"/>
    </row>
    <row r="3" spans="1:6" ht="22.05" customHeight="1">
      <c r="A3" s="19"/>
      <c r="B3" s="19"/>
      <c r="C3" s="19"/>
      <c r="D3" s="19"/>
      <c r="E3" s="19"/>
      <c r="F3" s="19"/>
    </row>
    <row r="4" spans="1:6" ht="22.05" customHeight="1">
      <c r="A4" s="28" t="s">
        <v>39</v>
      </c>
      <c r="B4" s="118" t="s">
        <v>63</v>
      </c>
      <c r="C4" s="119"/>
      <c r="D4" s="119"/>
      <c r="E4" s="101" t="s">
        <v>67</v>
      </c>
      <c r="F4" s="19"/>
    </row>
    <row r="5" spans="1:6" ht="22.05" customHeight="1">
      <c r="A5" s="28" t="s">
        <v>40</v>
      </c>
      <c r="B5" s="37">
        <v>46296</v>
      </c>
      <c r="C5" s="22" t="s">
        <v>41</v>
      </c>
      <c r="D5" s="38">
        <v>46326</v>
      </c>
      <c r="E5" s="21"/>
      <c r="F5" s="19"/>
    </row>
    <row r="6" spans="1:6" ht="22.05" customHeight="1">
      <c r="A6" s="28" t="s">
        <v>42</v>
      </c>
      <c r="B6" s="67">
        <f>SUM(B10:B14)</f>
        <v>15</v>
      </c>
      <c r="C6" s="23">
        <v>5</v>
      </c>
      <c r="D6" s="24"/>
      <c r="E6" s="21" t="s">
        <v>88</v>
      </c>
      <c r="F6" s="19"/>
    </row>
    <row r="7" spans="1:6" ht="22.05" customHeight="1">
      <c r="A7" s="19"/>
      <c r="B7" s="19"/>
      <c r="C7" s="19"/>
      <c r="D7" s="19"/>
      <c r="E7" s="19"/>
      <c r="F7" s="19"/>
    </row>
    <row r="8" spans="1:6" ht="22.05" customHeight="1">
      <c r="A8" s="86" t="s">
        <v>43</v>
      </c>
      <c r="B8" s="86"/>
      <c r="C8" s="86"/>
      <c r="D8" s="86"/>
      <c r="E8" s="86"/>
      <c r="F8" s="19"/>
    </row>
    <row r="9" spans="1:6" ht="28.05" customHeight="1">
      <c r="A9" s="29" t="s">
        <v>44</v>
      </c>
      <c r="B9" s="29" t="s">
        <v>45</v>
      </c>
      <c r="C9" s="29" t="s">
        <v>46</v>
      </c>
      <c r="D9" s="29" t="s">
        <v>47</v>
      </c>
      <c r="E9" s="29" t="s">
        <v>37</v>
      </c>
      <c r="F9" s="25" t="s">
        <v>48</v>
      </c>
    </row>
    <row r="10" spans="1:6" ht="37.799999999999997" customHeight="1">
      <c r="A10" s="39">
        <v>46296</v>
      </c>
      <c r="B10" s="26">
        <v>1</v>
      </c>
      <c r="C10" s="66" t="s">
        <v>78</v>
      </c>
      <c r="D10" s="66" t="s">
        <v>80</v>
      </c>
      <c r="E10" s="66"/>
      <c r="F10" s="68" t="s">
        <v>57</v>
      </c>
    </row>
    <row r="11" spans="1:6" ht="30" customHeight="1">
      <c r="A11" s="39">
        <v>46296</v>
      </c>
      <c r="B11" s="26">
        <v>1</v>
      </c>
      <c r="C11" s="66" t="s">
        <v>82</v>
      </c>
      <c r="D11" s="66" t="s">
        <v>85</v>
      </c>
      <c r="E11" s="66"/>
      <c r="F11" s="68" t="s">
        <v>61</v>
      </c>
    </row>
    <row r="12" spans="1:6" ht="30" customHeight="1">
      <c r="A12" s="39">
        <v>46296</v>
      </c>
      <c r="B12" s="26">
        <v>4</v>
      </c>
      <c r="C12" s="66" t="s">
        <v>82</v>
      </c>
      <c r="D12" s="66" t="s">
        <v>85</v>
      </c>
      <c r="E12" s="66"/>
      <c r="F12" s="68" t="s">
        <v>62</v>
      </c>
    </row>
    <row r="13" spans="1:6" ht="30" customHeight="1">
      <c r="A13" s="39">
        <v>46297</v>
      </c>
      <c r="B13" s="26">
        <v>5</v>
      </c>
      <c r="C13" s="66" t="s">
        <v>82</v>
      </c>
      <c r="D13" s="66" t="s">
        <v>83</v>
      </c>
      <c r="E13" s="66"/>
      <c r="F13" s="68" t="s">
        <v>59</v>
      </c>
    </row>
    <row r="14" spans="1:6" ht="30" customHeight="1">
      <c r="A14" s="39">
        <v>46298</v>
      </c>
      <c r="B14" s="26">
        <v>4</v>
      </c>
      <c r="C14" s="66" t="s">
        <v>82</v>
      </c>
      <c r="D14" s="66" t="s">
        <v>84</v>
      </c>
      <c r="E14" s="66"/>
      <c r="F14" s="68" t="s">
        <v>60</v>
      </c>
    </row>
    <row r="15" spans="1:6">
      <c r="A15" s="39"/>
      <c r="B15" s="26"/>
      <c r="C15" s="27"/>
      <c r="D15" s="27"/>
      <c r="E15" s="27"/>
      <c r="F15" s="21"/>
    </row>
    <row r="16" spans="1:6" ht="30" customHeight="1">
      <c r="A16" s="39"/>
      <c r="B16" s="26"/>
      <c r="C16" s="27"/>
      <c r="D16" s="27"/>
      <c r="E16" s="27"/>
      <c r="F16" s="21"/>
    </row>
    <row r="17" spans="1:6">
      <c r="A17" s="39"/>
      <c r="B17" s="26"/>
      <c r="C17" s="27"/>
      <c r="D17" s="27"/>
      <c r="E17" s="27"/>
      <c r="F17" s="21"/>
    </row>
    <row r="18" spans="1:6">
      <c r="A18" s="39"/>
      <c r="B18" s="26"/>
      <c r="C18" s="27"/>
      <c r="D18" s="27"/>
      <c r="E18" s="27"/>
      <c r="F18" s="21"/>
    </row>
    <row r="19" spans="1:6">
      <c r="A19" s="39"/>
      <c r="B19" s="26"/>
      <c r="C19" s="27"/>
      <c r="D19" s="27"/>
      <c r="E19" s="27"/>
      <c r="F19" s="21"/>
    </row>
    <row r="20" spans="1:6">
      <c r="A20" s="39"/>
      <c r="B20" s="26"/>
      <c r="C20" s="27"/>
      <c r="D20" s="27"/>
      <c r="E20" s="27"/>
      <c r="F20" s="21"/>
    </row>
    <row r="21" spans="1:6" ht="30" customHeight="1">
      <c r="A21" s="39"/>
      <c r="B21" s="26"/>
      <c r="C21" s="27"/>
      <c r="D21" s="27"/>
      <c r="E21" s="27"/>
      <c r="F21" s="21"/>
    </row>
    <row r="22" spans="1:6">
      <c r="A22" s="39"/>
      <c r="B22" s="26"/>
      <c r="C22" s="27"/>
      <c r="D22" s="27"/>
      <c r="E22" s="27"/>
      <c r="F22" s="21"/>
    </row>
    <row r="23" spans="1:6">
      <c r="A23" s="39"/>
      <c r="B23" s="26"/>
      <c r="C23" s="27"/>
      <c r="D23" s="27"/>
      <c r="E23" s="27"/>
      <c r="F23" s="21"/>
    </row>
    <row r="24" spans="1:6" ht="31.95" customHeight="1">
      <c r="A24" s="39"/>
      <c r="B24" s="26"/>
      <c r="C24" s="27"/>
      <c r="D24" s="27"/>
      <c r="E24" s="27"/>
      <c r="F24" s="21"/>
    </row>
    <row r="25" spans="1:6" ht="22.05" customHeight="1">
      <c r="A25" s="19"/>
      <c r="B25" s="19"/>
      <c r="C25" s="19"/>
      <c r="D25" s="19"/>
      <c r="E25" s="19"/>
      <c r="F25" s="19"/>
    </row>
    <row r="26" spans="1:6" ht="22.05" customHeight="1">
      <c r="A26" s="19"/>
      <c r="B26" s="19"/>
      <c r="C26" s="19"/>
      <c r="D26" s="19"/>
      <c r="E26" s="19"/>
      <c r="F26" s="19"/>
    </row>
  </sheetData>
  <mergeCells count="3">
    <mergeCell ref="A2:E2"/>
    <mergeCell ref="B4:D4"/>
    <mergeCell ref="A8:E8"/>
  </mergeCells>
  <phoneticPr fontId="2"/>
  <printOptions horizontalCentered="1"/>
  <pageMargins left="0.39370078740157477" right="0.39370078740157477" top="0.39370078740157477" bottom="0.39370078740157477" header="0.3" footer="0.3"/>
  <pageSetup paperSize="9" scale="64" orientation="portrait" horizontalDpi="0" verticalDpi="0" r:id="rId1"/>
  <headerFooter>
    <oddFooter>&amp;C&amp;P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操作・集計</vt:lpstr>
      <vt:lpstr>取得データ</vt:lpstr>
      <vt:lpstr>請求書</vt:lpstr>
      <vt:lpstr>業務内容報告書</vt:lpstr>
      <vt:lpstr>業務内容報告書!Print_Area</vt:lpstr>
      <vt:lpstr>取得データ!Print_Area</vt:lpstr>
      <vt:lpstr>請求書!Print_Area</vt:lpstr>
      <vt:lpstr>操作・集計!Print_Area</vt:lpstr>
      <vt:lpstr>業務内容報告書!Print_Titles</vt:lpstr>
      <vt:lpstr>取得データ!Print_Titles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大谷美和子</cp:lastModifiedBy>
  <cp:lastPrinted>2026-10-28T07:10:39Z</cp:lastPrinted>
  <dcterms:created xsi:type="dcterms:W3CDTF">2026-10-01T09:05:36Z</dcterms:created>
  <dcterms:modified xsi:type="dcterms:W3CDTF">2026-10-28T07:45:54Z</dcterms:modified>
</cp:coreProperties>
</file>